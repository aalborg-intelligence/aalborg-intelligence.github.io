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cambridge_analytica\data\"/>
    </mc:Choice>
  </mc:AlternateContent>
  <xr:revisionPtr revIDLastSave="0" documentId="13_ncr:1_{45B4950B-B91C-4D7E-A543-EE9A07C18DED}" xr6:coauthVersionLast="47" xr6:coauthVersionMax="47" xr10:uidLastSave="{00000000-0000-0000-0000-000000000000}"/>
  <bookViews>
    <workbookView xWindow="-2316" yWindow="312" windowWidth="17280" windowHeight="11484" xr2:uid="{00000000-000D-0000-FFFF-FFFF00000000}"/>
  </bookViews>
  <sheets>
    <sheet name="Sheet1" sheetId="1" r:id="rId1"/>
  </sheets>
  <definedNames>
    <definedName name="ybar">Sheet1!$K$5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K8" i="1"/>
  <c r="K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  <c r="K5" i="1"/>
</calcChain>
</file>

<file path=xl/sharedStrings.xml><?xml version="1.0" encoding="utf-8"?>
<sst xmlns="http://schemas.openxmlformats.org/spreadsheetml/2006/main" count="9" uniqueCount="9">
  <si>
    <t>pred</t>
  </si>
  <si>
    <t>O_openness</t>
  </si>
  <si>
    <t>ybar</t>
  </si>
  <si>
    <t>(yi-ybar)^2</t>
  </si>
  <si>
    <t>(yi-ypræd)^2</t>
  </si>
  <si>
    <t>R2-værdi</t>
  </si>
  <si>
    <t>sum (yi-ybar)^2</t>
  </si>
  <si>
    <t>sum(yi-ypræd)^2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</si>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</sst>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K12" sqref="K12"/>
    </sheetView>
  </sheetViews>
  <sheetFormatPr defaultRowHeight="14.4" x14ac:dyDescent="0.3"/>
  <cols>
    <col min="1" max="1" width="12.5546875" customWidth="1"/>
    <col min="2" max="2" width="13.77734375" customWidth="1"/>
    <col min="3" max="3" width="16.44140625" customWidth="1"/>
    <col min="5" max="5" width="6.5546875" customWidth="1"/>
    <col min="6" max="6" width="4.5546875" customWidth="1"/>
    <col min="7" max="7" width="3" customWidth="1"/>
    <col min="8" max="8" width="4.5546875" customWidth="1"/>
    <col min="9" max="9" width="3.88671875" customWidth="1"/>
    <col min="10" max="10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11" x14ac:dyDescent="0.3">
      <c r="A2">
        <v>0.58542000000000005</v>
      </c>
      <c r="B2">
        <v>0.53900000000000003</v>
      </c>
      <c r="C2">
        <f>(B2-ybar)^2</f>
        <v>1.9213656177777833E-2</v>
      </c>
      <c r="D2">
        <f>(B2-A2)^2</f>
        <v>2.1548164000000014E-3</v>
      </c>
    </row>
    <row r="3" spans="1:11" x14ac:dyDescent="0.3">
      <c r="A3">
        <v>0.38185000000000002</v>
      </c>
      <c r="B3">
        <v>0.28000000000000003</v>
      </c>
      <c r="C3">
        <f>(B3-ybar)^2</f>
        <v>1.4492949511111065E-2</v>
      </c>
      <c r="D3">
        <f t="shared" ref="D3:D66" si="0">(B3-A3)^2</f>
        <v>1.03734225E-2</v>
      </c>
    </row>
    <row r="4" spans="1:11" x14ac:dyDescent="0.3">
      <c r="A4">
        <v>0.29243999999999998</v>
      </c>
      <c r="B4">
        <v>0.26100000000000001</v>
      </c>
      <c r="C4">
        <f>(B4-ybar)^2</f>
        <v>1.9428642844444396E-2</v>
      </c>
      <c r="D4">
        <f t="shared" si="0"/>
        <v>9.8847359999999795E-4</v>
      </c>
    </row>
    <row r="5" spans="1:11" x14ac:dyDescent="0.3">
      <c r="A5">
        <v>0.41277000000000003</v>
      </c>
      <c r="B5">
        <v>0.41</v>
      </c>
      <c r="C5">
        <f>(B5-ybar)^2</f>
        <v>9.241617777778047E-5</v>
      </c>
      <c r="D5">
        <f t="shared" si="0"/>
        <v>7.6729000000002785E-6</v>
      </c>
      <c r="J5" t="s">
        <v>2</v>
      </c>
      <c r="K5">
        <f>AVERAGE(B2:B301)</f>
        <v>0.4003866666666665</v>
      </c>
    </row>
    <row r="6" spans="1:11" x14ac:dyDescent="0.3">
      <c r="A6">
        <v>0.30853999999999998</v>
      </c>
      <c r="B6">
        <v>0.14099999999999999</v>
      </c>
      <c r="C6">
        <f>(B6-ybar)^2</f>
        <v>6.7281442844444386E-2</v>
      </c>
      <c r="D6">
        <f t="shared" si="0"/>
        <v>2.8069651599999999E-2</v>
      </c>
    </row>
    <row r="7" spans="1:11" x14ac:dyDescent="0.3">
      <c r="A7">
        <v>0.35464000000000001</v>
      </c>
      <c r="B7">
        <v>0.38500000000000001</v>
      </c>
      <c r="C7">
        <f>(B7-ybar)^2</f>
        <v>2.3674951111110577E-4</v>
      </c>
      <c r="D7">
        <f t="shared" si="0"/>
        <v>9.2172959999999992E-4</v>
      </c>
      <c r="J7" t="s">
        <v>6</v>
      </c>
      <c r="K7">
        <f>SUM(C2:C301)</f>
        <v>4.1454591466666644</v>
      </c>
    </row>
    <row r="8" spans="1:11" x14ac:dyDescent="0.3">
      <c r="A8">
        <v>0.32181999999999999</v>
      </c>
      <c r="B8">
        <v>0.251</v>
      </c>
      <c r="C8">
        <f>(B8-ybar)^2</f>
        <v>2.2316376177777729E-2</v>
      </c>
      <c r="D8">
        <f t="shared" si="0"/>
        <v>5.0154723999999993E-3</v>
      </c>
      <c r="J8" t="s">
        <v>7</v>
      </c>
      <c r="K8">
        <f>SUM(D2:D301)</f>
        <v>1.6682487868999998</v>
      </c>
    </row>
    <row r="9" spans="1:11" x14ac:dyDescent="0.3">
      <c r="A9">
        <v>0.49167</v>
      </c>
      <c r="B9">
        <v>0.52100000000000002</v>
      </c>
      <c r="C9">
        <f>(B9-ybar)^2</f>
        <v>1.4547576177777822E-2</v>
      </c>
      <c r="D9">
        <f t="shared" si="0"/>
        <v>8.6024890000000137E-4</v>
      </c>
    </row>
    <row r="10" spans="1:11" x14ac:dyDescent="0.3">
      <c r="A10">
        <v>0.35114000000000001</v>
      </c>
      <c r="B10">
        <v>0.28699999999999998</v>
      </c>
      <c r="C10">
        <f>(B10-ybar)^2</f>
        <v>1.2856536177777746E-2</v>
      </c>
      <c r="D10">
        <f t="shared" si="0"/>
        <v>4.1139396000000042E-3</v>
      </c>
    </row>
    <row r="11" spans="1:11" x14ac:dyDescent="0.3">
      <c r="A11">
        <v>0.31901000000000002</v>
      </c>
      <c r="B11">
        <v>0.376</v>
      </c>
      <c r="C11">
        <f>(B11-ybar)^2</f>
        <v>5.94709511111103E-4</v>
      </c>
      <c r="D11">
        <f t="shared" si="0"/>
        <v>3.2478600999999983E-3</v>
      </c>
      <c r="J11" t="s">
        <v>5</v>
      </c>
      <c r="K11">
        <f>(K7-K8)/K7</f>
        <v>0.59757201123513015</v>
      </c>
    </row>
    <row r="12" spans="1:11" x14ac:dyDescent="0.3">
      <c r="A12">
        <v>0.29802000000000001</v>
      </c>
      <c r="B12">
        <v>0.20699999999999999</v>
      </c>
      <c r="C12">
        <f>(B12-ybar)^2</f>
        <v>3.7398402844444387E-2</v>
      </c>
      <c r="D12">
        <f t="shared" si="0"/>
        <v>8.284640400000003E-3</v>
      </c>
      <c r="J12" t="s">
        <v>8</v>
      </c>
      <c r="K12">
        <f>SQRT(K8/300)</f>
        <v>7.4570968142211119E-2</v>
      </c>
    </row>
    <row r="13" spans="1:11" x14ac:dyDescent="0.3">
      <c r="A13">
        <v>0.23135</v>
      </c>
      <c r="B13">
        <v>0.2</v>
      </c>
      <c r="C13">
        <f>(B13-ybar)^2</f>
        <v>4.0154816177777705E-2</v>
      </c>
      <c r="D13">
        <f t="shared" si="0"/>
        <v>9.8282249999999925E-4</v>
      </c>
    </row>
    <row r="14" spans="1:11" x14ac:dyDescent="0.3">
      <c r="A14">
        <v>0.34684999999999999</v>
      </c>
      <c r="B14">
        <v>0.312</v>
      </c>
      <c r="C14">
        <f>(B14-ybar)^2</f>
        <v>7.8122028444444153E-3</v>
      </c>
      <c r="D14">
        <f t="shared" si="0"/>
        <v>1.2145224999999995E-3</v>
      </c>
    </row>
    <row r="15" spans="1:11" x14ac:dyDescent="0.3">
      <c r="A15">
        <v>0.52466000000000002</v>
      </c>
      <c r="B15">
        <v>0.55700000000000005</v>
      </c>
      <c r="C15">
        <f>(B15-ybar)^2</f>
        <v>2.4527736177777846E-2</v>
      </c>
      <c r="D15">
        <f t="shared" si="0"/>
        <v>1.0458756000000023E-3</v>
      </c>
    </row>
    <row r="16" spans="1:11" x14ac:dyDescent="0.3">
      <c r="A16">
        <v>0.52600000000000002</v>
      </c>
      <c r="B16">
        <v>0.57899999999999996</v>
      </c>
      <c r="C16">
        <f>(B16-ybar)^2</f>
        <v>3.1902722844444488E-2</v>
      </c>
      <c r="D16">
        <f t="shared" si="0"/>
        <v>2.8089999999999934E-3</v>
      </c>
    </row>
    <row r="17" spans="1:4" x14ac:dyDescent="0.3">
      <c r="A17">
        <v>0.38616</v>
      </c>
      <c r="B17">
        <v>0.35099999999999998</v>
      </c>
      <c r="C17">
        <f>(B17-ybar)^2</f>
        <v>2.4390428444444304E-3</v>
      </c>
      <c r="D17">
        <f t="shared" si="0"/>
        <v>1.2362256000000018E-3</v>
      </c>
    </row>
    <row r="18" spans="1:4" x14ac:dyDescent="0.3">
      <c r="A18">
        <v>0.36392000000000002</v>
      </c>
      <c r="B18">
        <v>0.373</v>
      </c>
      <c r="C18">
        <f>(B18-ybar)^2</f>
        <v>7.5002951111110216E-4</v>
      </c>
      <c r="D18">
        <f t="shared" si="0"/>
        <v>8.2446399999999584E-5</v>
      </c>
    </row>
    <row r="19" spans="1:4" x14ac:dyDescent="0.3">
      <c r="A19">
        <v>0.29931999999999997</v>
      </c>
      <c r="B19">
        <v>0.36099999999999999</v>
      </c>
      <c r="C19">
        <f>(B19-ybar)^2</f>
        <v>1.551309511111099E-3</v>
      </c>
      <c r="D19">
        <f t="shared" si="0"/>
        <v>3.8044224000000014E-3</v>
      </c>
    </row>
    <row r="20" spans="1:4" x14ac:dyDescent="0.3">
      <c r="A20">
        <v>0.29993999999999998</v>
      </c>
      <c r="B20">
        <v>0.2</v>
      </c>
      <c r="C20">
        <f>(B20-ybar)^2</f>
        <v>4.0154816177777705E-2</v>
      </c>
      <c r="D20">
        <f t="shared" si="0"/>
        <v>9.9880035999999946E-3</v>
      </c>
    </row>
    <row r="21" spans="1:4" x14ac:dyDescent="0.3">
      <c r="A21">
        <v>0.28366000000000002</v>
      </c>
      <c r="B21">
        <v>0.31900000000000001</v>
      </c>
      <c r="C21">
        <f>(B21-ybar)^2</f>
        <v>6.6237895111110837E-3</v>
      </c>
      <c r="D21">
        <f t="shared" si="0"/>
        <v>1.2489155999999989E-3</v>
      </c>
    </row>
    <row r="22" spans="1:4" x14ac:dyDescent="0.3">
      <c r="A22">
        <v>0.53881000000000001</v>
      </c>
      <c r="B22">
        <v>0.61599999999999999</v>
      </c>
      <c r="C22">
        <f>(B22-ybar)^2</f>
        <v>4.6489109511111182E-2</v>
      </c>
      <c r="D22">
        <f t="shared" si="0"/>
        <v>5.9582960999999971E-3</v>
      </c>
    </row>
    <row r="23" spans="1:4" x14ac:dyDescent="0.3">
      <c r="A23">
        <v>0.44056000000000001</v>
      </c>
      <c r="B23">
        <v>0.42199999999999999</v>
      </c>
      <c r="C23">
        <f>(B23-ybar)^2</f>
        <v>4.671361777777843E-4</v>
      </c>
      <c r="D23">
        <f t="shared" si="0"/>
        <v>3.4447360000000078E-4</v>
      </c>
    </row>
    <row r="24" spans="1:4" x14ac:dyDescent="0.3">
      <c r="A24">
        <v>0.5252</v>
      </c>
      <c r="B24">
        <v>0.46800000000000003</v>
      </c>
      <c r="C24">
        <f>(B24-ybar)^2</f>
        <v>4.5715628444444704E-3</v>
      </c>
      <c r="D24">
        <f t="shared" si="0"/>
        <v>3.2718399999999968E-3</v>
      </c>
    </row>
    <row r="25" spans="1:4" x14ac:dyDescent="0.3">
      <c r="A25">
        <v>0.32705000000000001</v>
      </c>
      <c r="B25">
        <v>0.33</v>
      </c>
      <c r="C25">
        <f>(B25-ybar)^2</f>
        <v>4.9542828444444189E-3</v>
      </c>
      <c r="D25">
        <f t="shared" si="0"/>
        <v>8.7025000000000475E-6</v>
      </c>
    </row>
    <row r="26" spans="1:4" x14ac:dyDescent="0.3">
      <c r="A26">
        <v>0.47420000000000001</v>
      </c>
      <c r="B26">
        <v>0.45</v>
      </c>
      <c r="C26">
        <f>(B26-ybar)^2</f>
        <v>2.4614828444444619E-3</v>
      </c>
      <c r="D26">
        <f t="shared" si="0"/>
        <v>5.8564000000000001E-4</v>
      </c>
    </row>
    <row r="27" spans="1:4" x14ac:dyDescent="0.3">
      <c r="A27">
        <v>0.55454999999999999</v>
      </c>
      <c r="B27">
        <v>0.55500000000000005</v>
      </c>
      <c r="C27">
        <f>(B27-ybar)^2</f>
        <v>2.3905282844444511E-2</v>
      </c>
      <c r="D27">
        <f t="shared" si="0"/>
        <v>2.0250000000005532E-7</v>
      </c>
    </row>
    <row r="28" spans="1:4" x14ac:dyDescent="0.3">
      <c r="A28">
        <v>0.37504999999999999</v>
      </c>
      <c r="B28">
        <v>0.35099999999999998</v>
      </c>
      <c r="C28">
        <f>(B28-ybar)^2</f>
        <v>2.4390428444444304E-3</v>
      </c>
      <c r="D28">
        <f t="shared" si="0"/>
        <v>5.7840250000000071E-4</v>
      </c>
    </row>
    <row r="29" spans="1:4" x14ac:dyDescent="0.3">
      <c r="A29">
        <v>0.52424999999999999</v>
      </c>
      <c r="B29">
        <v>0.52200000000000002</v>
      </c>
      <c r="C29">
        <f>(B29-ybar)^2</f>
        <v>1.4789802844444489E-2</v>
      </c>
      <c r="D29">
        <f t="shared" si="0"/>
        <v>5.0624999999998842E-6</v>
      </c>
    </row>
    <row r="30" spans="1:4" x14ac:dyDescent="0.3">
      <c r="A30">
        <v>0.46167999999999998</v>
      </c>
      <c r="B30">
        <v>0.59499999999999997</v>
      </c>
      <c r="C30">
        <f>(B30-ybar)^2</f>
        <v>3.7874349511111162E-2</v>
      </c>
      <c r="D30">
        <f t="shared" si="0"/>
        <v>1.7774222399999998E-2</v>
      </c>
    </row>
    <row r="31" spans="1:4" x14ac:dyDescent="0.3">
      <c r="A31">
        <v>0.43611</v>
      </c>
      <c r="B31">
        <v>0.63300000000000001</v>
      </c>
      <c r="C31">
        <f>(B31-ybar)^2</f>
        <v>5.4108962844444525E-2</v>
      </c>
      <c r="D31">
        <f t="shared" si="0"/>
        <v>3.8765672100000002E-2</v>
      </c>
    </row>
    <row r="32" spans="1:4" x14ac:dyDescent="0.3">
      <c r="A32">
        <v>0.443</v>
      </c>
      <c r="B32">
        <v>0.56499999999999995</v>
      </c>
      <c r="C32">
        <f>(B32-ybar)^2</f>
        <v>2.7097549511111148E-2</v>
      </c>
      <c r="D32">
        <f t="shared" si="0"/>
        <v>1.4883999999999986E-2</v>
      </c>
    </row>
    <row r="33" spans="1:4" x14ac:dyDescent="0.3">
      <c r="A33">
        <v>0.2908</v>
      </c>
      <c r="B33">
        <v>0.308</v>
      </c>
      <c r="C33">
        <f>(B33-ybar)^2</f>
        <v>8.5352961777777486E-3</v>
      </c>
      <c r="D33">
        <f t="shared" si="0"/>
        <v>2.9583999999999974E-4</v>
      </c>
    </row>
    <row r="34" spans="1:4" x14ac:dyDescent="0.3">
      <c r="A34">
        <v>0.40189000000000002</v>
      </c>
      <c r="B34">
        <v>0.35199999999999998</v>
      </c>
      <c r="C34">
        <f>(B34-ybar)^2</f>
        <v>2.341269511111097E-3</v>
      </c>
      <c r="D34">
        <f t="shared" si="0"/>
        <v>2.4890121000000045E-3</v>
      </c>
    </row>
    <row r="35" spans="1:4" x14ac:dyDescent="0.3">
      <c r="A35">
        <v>0.59772999999999998</v>
      </c>
      <c r="B35">
        <v>0.443</v>
      </c>
      <c r="C35">
        <f>(B35-ybar)^2</f>
        <v>1.8158961777777923E-3</v>
      </c>
      <c r="D35">
        <f t="shared" si="0"/>
        <v>2.3941372899999994E-2</v>
      </c>
    </row>
    <row r="36" spans="1:4" x14ac:dyDescent="0.3">
      <c r="A36">
        <v>0.36860999999999999</v>
      </c>
      <c r="B36">
        <v>0.4</v>
      </c>
      <c r="C36">
        <f>(B36-ybar)^2</f>
        <v>1.4951111111096656E-7</v>
      </c>
      <c r="D36">
        <f t="shared" si="0"/>
        <v>9.8533210000000177E-4</v>
      </c>
    </row>
    <row r="37" spans="1:4" x14ac:dyDescent="0.3">
      <c r="A37">
        <v>0.37325999999999998</v>
      </c>
      <c r="B37">
        <v>0.29699999999999999</v>
      </c>
      <c r="C37">
        <f>(B37-ybar)^2</f>
        <v>1.0688802844444413E-2</v>
      </c>
      <c r="D37">
        <f t="shared" si="0"/>
        <v>5.815587599999999E-3</v>
      </c>
    </row>
    <row r="38" spans="1:4" x14ac:dyDescent="0.3">
      <c r="A38">
        <v>0.47081000000000001</v>
      </c>
      <c r="B38">
        <v>0.51700000000000002</v>
      </c>
      <c r="C38">
        <f>(B38-ybar)^2</f>
        <v>1.3598669511111152E-2</v>
      </c>
      <c r="D38">
        <f t="shared" si="0"/>
        <v>2.1335161000000007E-3</v>
      </c>
    </row>
    <row r="39" spans="1:4" x14ac:dyDescent="0.3">
      <c r="A39">
        <v>0.42233999999999999</v>
      </c>
      <c r="B39">
        <v>0.36499999999999999</v>
      </c>
      <c r="C39">
        <f>(B39-ybar)^2</f>
        <v>1.2522161777777667E-3</v>
      </c>
      <c r="D39">
        <f t="shared" si="0"/>
        <v>3.2878756000000002E-3</v>
      </c>
    </row>
    <row r="40" spans="1:4" x14ac:dyDescent="0.3">
      <c r="A40">
        <v>0.25927</v>
      </c>
      <c r="B40">
        <v>0.28899999999999998</v>
      </c>
      <c r="C40">
        <f>(B40-ybar)^2</f>
        <v>1.2406989511111079E-2</v>
      </c>
      <c r="D40">
        <f t="shared" si="0"/>
        <v>8.8387289999999875E-4</v>
      </c>
    </row>
    <row r="41" spans="1:4" x14ac:dyDescent="0.3">
      <c r="A41">
        <v>0.32633000000000001</v>
      </c>
      <c r="B41">
        <v>0.34599999999999997</v>
      </c>
      <c r="C41">
        <f>(B41-ybar)^2</f>
        <v>2.957909511111096E-3</v>
      </c>
      <c r="D41">
        <f t="shared" si="0"/>
        <v>3.8690889999999862E-4</v>
      </c>
    </row>
    <row r="42" spans="1:4" x14ac:dyDescent="0.3">
      <c r="A42">
        <v>0.45840999999999998</v>
      </c>
      <c r="B42">
        <v>0.46</v>
      </c>
      <c r="C42">
        <f>(B42-ybar)^2</f>
        <v>3.5537495111111332E-3</v>
      </c>
      <c r="D42">
        <f t="shared" si="0"/>
        <v>2.5281000000001139E-6</v>
      </c>
    </row>
    <row r="43" spans="1:4" x14ac:dyDescent="0.3">
      <c r="A43">
        <v>0.29666999999999999</v>
      </c>
      <c r="B43">
        <v>0.26800000000000002</v>
      </c>
      <c r="C43">
        <f>(B43-ybar)^2</f>
        <v>1.7526229511111064E-2</v>
      </c>
      <c r="D43">
        <f t="shared" si="0"/>
        <v>8.2196889999999842E-4</v>
      </c>
    </row>
    <row r="44" spans="1:4" x14ac:dyDescent="0.3">
      <c r="A44">
        <v>0.32600000000000001</v>
      </c>
      <c r="B44">
        <v>0.224</v>
      </c>
      <c r="C44">
        <f>(B44-ybar)^2</f>
        <v>3.1112256177777717E-2</v>
      </c>
      <c r="D44">
        <f t="shared" si="0"/>
        <v>1.0404000000000002E-2</v>
      </c>
    </row>
    <row r="45" spans="1:4" x14ac:dyDescent="0.3">
      <c r="A45">
        <v>0.42713000000000001</v>
      </c>
      <c r="B45">
        <v>0.49</v>
      </c>
      <c r="C45">
        <f>(B45-ybar)^2</f>
        <v>8.0305495111111392E-3</v>
      </c>
      <c r="D45">
        <f t="shared" si="0"/>
        <v>3.952636899999998E-3</v>
      </c>
    </row>
    <row r="46" spans="1:4" x14ac:dyDescent="0.3">
      <c r="A46">
        <v>0.51043000000000005</v>
      </c>
      <c r="B46">
        <v>0.57699999999999996</v>
      </c>
      <c r="C46">
        <f>(B46-ybar)^2</f>
        <v>3.1192269511111155E-2</v>
      </c>
      <c r="D46">
        <f t="shared" si="0"/>
        <v>4.4315648999999875E-3</v>
      </c>
    </row>
    <row r="47" spans="1:4" x14ac:dyDescent="0.3">
      <c r="A47">
        <v>0.35681000000000002</v>
      </c>
      <c r="B47">
        <v>0.28699999999999998</v>
      </c>
      <c r="C47">
        <f>(B47-ybar)^2</f>
        <v>1.2856536177777746E-2</v>
      </c>
      <c r="D47">
        <f t="shared" si="0"/>
        <v>4.8734361000000058E-3</v>
      </c>
    </row>
    <row r="48" spans="1:4" x14ac:dyDescent="0.3">
      <c r="A48">
        <v>0.43047000000000002</v>
      </c>
      <c r="B48">
        <v>0.57499999999999996</v>
      </c>
      <c r="C48">
        <f>(B48-ybar)^2</f>
        <v>3.048981617777782E-2</v>
      </c>
      <c r="D48">
        <f t="shared" si="0"/>
        <v>2.0888920899999983E-2</v>
      </c>
    </row>
    <row r="49" spans="1:4" x14ac:dyDescent="0.3">
      <c r="A49">
        <v>0.26430999999999999</v>
      </c>
      <c r="B49">
        <v>0.17299999999999999</v>
      </c>
      <c r="C49">
        <f>(B49-ybar)^2</f>
        <v>5.1704696177777711E-2</v>
      </c>
      <c r="D49">
        <f t="shared" si="0"/>
        <v>8.337516100000001E-3</v>
      </c>
    </row>
    <row r="50" spans="1:4" x14ac:dyDescent="0.3">
      <c r="A50">
        <v>0.47172999999999998</v>
      </c>
      <c r="B50">
        <v>0.52400000000000002</v>
      </c>
      <c r="C50">
        <f>(B50-ybar)^2</f>
        <v>1.5280256177777824E-2</v>
      </c>
      <c r="D50">
        <f t="shared" si="0"/>
        <v>2.7321529000000041E-3</v>
      </c>
    </row>
    <row r="51" spans="1:4" x14ac:dyDescent="0.3">
      <c r="A51">
        <v>0.55212000000000006</v>
      </c>
      <c r="B51">
        <v>0.48699999999999999</v>
      </c>
      <c r="C51">
        <f>(B51-ybar)^2</f>
        <v>7.5018695111111373E-3</v>
      </c>
      <c r="D51">
        <f t="shared" si="0"/>
        <v>4.240614400000009E-3</v>
      </c>
    </row>
    <row r="52" spans="1:4" x14ac:dyDescent="0.3">
      <c r="A52">
        <v>0.40344999999999998</v>
      </c>
      <c r="B52">
        <v>0.374</v>
      </c>
      <c r="C52">
        <f>(B52-ybar)^2</f>
        <v>6.9625617777776909E-4</v>
      </c>
      <c r="D52">
        <f t="shared" si="0"/>
        <v>8.6730249999999857E-4</v>
      </c>
    </row>
    <row r="53" spans="1:4" x14ac:dyDescent="0.3">
      <c r="A53">
        <v>0.53632999999999997</v>
      </c>
      <c r="B53">
        <v>0.47099999999999997</v>
      </c>
      <c r="C53">
        <f>(B53-ybar)^2</f>
        <v>4.9862428444444641E-3</v>
      </c>
      <c r="D53">
        <f t="shared" si="0"/>
        <v>4.2680089000000001E-3</v>
      </c>
    </row>
    <row r="54" spans="1:4" x14ac:dyDescent="0.3">
      <c r="A54">
        <v>0.38252999999999998</v>
      </c>
      <c r="B54">
        <v>0.32900000000000001</v>
      </c>
      <c r="C54">
        <f>(B54-ybar)^2</f>
        <v>5.0960561777777524E-3</v>
      </c>
      <c r="D54">
        <f t="shared" si="0"/>
        <v>2.8654608999999962E-3</v>
      </c>
    </row>
    <row r="55" spans="1:4" x14ac:dyDescent="0.3">
      <c r="A55">
        <v>0.39591999999999999</v>
      </c>
      <c r="B55">
        <v>0.28899999999999998</v>
      </c>
      <c r="C55">
        <f>(B55-ybar)^2</f>
        <v>1.2406989511111079E-2</v>
      </c>
      <c r="D55">
        <f t="shared" si="0"/>
        <v>1.1431886400000002E-2</v>
      </c>
    </row>
    <row r="56" spans="1:4" x14ac:dyDescent="0.3">
      <c r="A56">
        <v>0.53330999999999995</v>
      </c>
      <c r="B56">
        <v>0.53100000000000003</v>
      </c>
      <c r="C56">
        <f>(B56-ybar)^2</f>
        <v>1.7059842844444496E-2</v>
      </c>
      <c r="D56">
        <f t="shared" si="0"/>
        <v>5.3360999999996456E-6</v>
      </c>
    </row>
    <row r="57" spans="1:4" x14ac:dyDescent="0.3">
      <c r="A57">
        <v>0.27390999999999999</v>
      </c>
      <c r="B57">
        <v>0.314</v>
      </c>
      <c r="C57">
        <f>(B57-ybar)^2</f>
        <v>7.4626561777777489E-3</v>
      </c>
      <c r="D57">
        <f t="shared" si="0"/>
        <v>1.6072081000000011E-3</v>
      </c>
    </row>
    <row r="58" spans="1:4" x14ac:dyDescent="0.3">
      <c r="A58">
        <v>0.49060999999999999</v>
      </c>
      <c r="B58">
        <v>0.44800000000000001</v>
      </c>
      <c r="C58">
        <f>(B58-ybar)^2</f>
        <v>2.2670295111111276E-3</v>
      </c>
      <c r="D58">
        <f t="shared" si="0"/>
        <v>1.8156120999999984E-3</v>
      </c>
    </row>
    <row r="59" spans="1:4" x14ac:dyDescent="0.3">
      <c r="A59">
        <v>0.48992000000000002</v>
      </c>
      <c r="B59">
        <v>0.33</v>
      </c>
      <c r="C59">
        <f>(B59-ybar)^2</f>
        <v>4.9542828444444189E-3</v>
      </c>
      <c r="D59">
        <f t="shared" si="0"/>
        <v>2.5574406400000003E-2</v>
      </c>
    </row>
    <row r="60" spans="1:4" x14ac:dyDescent="0.3">
      <c r="A60">
        <v>0.35682999999999998</v>
      </c>
      <c r="B60">
        <v>0.30099999999999999</v>
      </c>
      <c r="C60">
        <f>(B60-ybar)^2</f>
        <v>9.8777095111110807E-3</v>
      </c>
      <c r="D60">
        <f t="shared" si="0"/>
        <v>3.1169888999999988E-3</v>
      </c>
    </row>
    <row r="61" spans="1:4" x14ac:dyDescent="0.3">
      <c r="A61">
        <v>0.50375999999999999</v>
      </c>
      <c r="B61">
        <v>0.41599999999999998</v>
      </c>
      <c r="C61">
        <f>(B61-ybar)^2</f>
        <v>2.4377617777778231E-4</v>
      </c>
      <c r="D61">
        <f t="shared" si="0"/>
        <v>7.7018176000000008E-3</v>
      </c>
    </row>
    <row r="62" spans="1:4" x14ac:dyDescent="0.3">
      <c r="A62">
        <v>0.30386000000000002</v>
      </c>
      <c r="B62">
        <v>0.309</v>
      </c>
      <c r="C62">
        <f>(B62-ybar)^2</f>
        <v>8.3515228444444155E-3</v>
      </c>
      <c r="D62">
        <f t="shared" si="0"/>
        <v>2.6419599999999773E-5</v>
      </c>
    </row>
    <row r="63" spans="1:4" x14ac:dyDescent="0.3">
      <c r="A63">
        <v>0.28234999999999999</v>
      </c>
      <c r="B63">
        <v>0.36899999999999999</v>
      </c>
      <c r="C63">
        <f>(B63-ybar)^2</f>
        <v>9.8512284444443447E-4</v>
      </c>
      <c r="D63">
        <f t="shared" si="0"/>
        <v>7.5082225000000008E-3</v>
      </c>
    </row>
    <row r="64" spans="1:4" x14ac:dyDescent="0.3">
      <c r="A64">
        <v>0.44705</v>
      </c>
      <c r="B64">
        <v>0.48199999999999998</v>
      </c>
      <c r="C64">
        <f>(B64-ybar)^2</f>
        <v>6.6607361777778025E-3</v>
      </c>
      <c r="D64">
        <f t="shared" si="0"/>
        <v>1.2215024999999986E-3</v>
      </c>
    </row>
    <row r="65" spans="1:4" x14ac:dyDescent="0.3">
      <c r="A65">
        <v>0.56640999999999997</v>
      </c>
      <c r="B65">
        <v>0.42399999999999999</v>
      </c>
      <c r="C65">
        <f>(B65-ybar)^2</f>
        <v>5.5758951111111832E-4</v>
      </c>
      <c r="D65">
        <f t="shared" si="0"/>
        <v>2.0280608099999993E-2</v>
      </c>
    </row>
    <row r="66" spans="1:4" x14ac:dyDescent="0.3">
      <c r="A66">
        <v>0.31180999999999998</v>
      </c>
      <c r="B66">
        <v>0.28499999999999998</v>
      </c>
      <c r="C66">
        <f>(B66-ybar)^2</f>
        <v>1.3314082844444412E-2</v>
      </c>
      <c r="D66">
        <f t="shared" si="0"/>
        <v>7.187761E-4</v>
      </c>
    </row>
    <row r="67" spans="1:4" x14ac:dyDescent="0.3">
      <c r="A67">
        <v>0.39474999999999999</v>
      </c>
      <c r="B67">
        <v>0.51500000000000001</v>
      </c>
      <c r="C67">
        <f>(B67-ybar)^2</f>
        <v>1.3136216177777819E-2</v>
      </c>
      <c r="D67">
        <f t="shared" ref="D67:D130" si="1">(B67-A67)^2</f>
        <v>1.4460062500000006E-2</v>
      </c>
    </row>
    <row r="68" spans="1:4" x14ac:dyDescent="0.3">
      <c r="A68">
        <v>0.38929999999999998</v>
      </c>
      <c r="B68">
        <v>0.42</v>
      </c>
      <c r="C68">
        <f>(B68-ybar)^2</f>
        <v>3.8468284444445031E-4</v>
      </c>
      <c r="D68">
        <f t="shared" si="1"/>
        <v>9.4249000000000036E-4</v>
      </c>
    </row>
    <row r="69" spans="1:4" x14ac:dyDescent="0.3">
      <c r="A69">
        <v>0.47693000000000002</v>
      </c>
      <c r="B69">
        <v>0.46200000000000002</v>
      </c>
      <c r="C69">
        <f>(B69-ybar)^2</f>
        <v>3.7962028444444673E-3</v>
      </c>
      <c r="D69">
        <f t="shared" si="1"/>
        <v>2.2290489999999996E-4</v>
      </c>
    </row>
    <row r="70" spans="1:4" x14ac:dyDescent="0.3">
      <c r="A70">
        <v>0.41471999999999998</v>
      </c>
      <c r="B70">
        <v>0.441</v>
      </c>
      <c r="C70">
        <f>(B70-ybar)^2</f>
        <v>1.649442844444458E-3</v>
      </c>
      <c r="D70">
        <f t="shared" si="1"/>
        <v>6.9063840000000137E-4</v>
      </c>
    </row>
    <row r="71" spans="1:4" x14ac:dyDescent="0.3">
      <c r="A71">
        <v>0.42554999999999998</v>
      </c>
      <c r="B71">
        <v>0.39700000000000002</v>
      </c>
      <c r="C71">
        <f>(B71-ybar)^2</f>
        <v>1.1469511111109863E-5</v>
      </c>
      <c r="D71">
        <f t="shared" si="1"/>
        <v>8.1510249999999795E-4</v>
      </c>
    </row>
    <row r="72" spans="1:4" x14ac:dyDescent="0.3">
      <c r="A72">
        <v>0.53407000000000004</v>
      </c>
      <c r="B72">
        <v>0.55100000000000005</v>
      </c>
      <c r="C72">
        <f>(B72-ybar)^2</f>
        <v>2.268437617777784E-2</v>
      </c>
      <c r="D72">
        <f t="shared" si="1"/>
        <v>2.8662490000000001E-4</v>
      </c>
    </row>
    <row r="73" spans="1:4" x14ac:dyDescent="0.3">
      <c r="A73">
        <v>0.42677999999999999</v>
      </c>
      <c r="B73">
        <v>0.49199999999999999</v>
      </c>
      <c r="C73">
        <f>(B73-ybar)^2</f>
        <v>8.3930028444444728E-3</v>
      </c>
      <c r="D73">
        <f t="shared" si="1"/>
        <v>4.2536483999999998E-3</v>
      </c>
    </row>
    <row r="74" spans="1:4" x14ac:dyDescent="0.3">
      <c r="A74">
        <v>0.57537000000000005</v>
      </c>
      <c r="B74">
        <v>0.43099999999999999</v>
      </c>
      <c r="C74">
        <f>(B74-ybar)^2</f>
        <v>9.3717617777778746E-4</v>
      </c>
      <c r="D74">
        <f t="shared" si="1"/>
        <v>2.0842696900000016E-2</v>
      </c>
    </row>
    <row r="75" spans="1:4" x14ac:dyDescent="0.3">
      <c r="A75">
        <v>0.28811999999999999</v>
      </c>
      <c r="B75">
        <v>0.40600000000000003</v>
      </c>
      <c r="C75">
        <f>(B75-ybar)^2</f>
        <v>3.1509511111113271E-5</v>
      </c>
      <c r="D75">
        <f t="shared" si="1"/>
        <v>1.3895694400000009E-2</v>
      </c>
    </row>
    <row r="76" spans="1:4" x14ac:dyDescent="0.3">
      <c r="A76">
        <v>0.47295999999999999</v>
      </c>
      <c r="B76">
        <v>0.61199999999999999</v>
      </c>
      <c r="C76">
        <f>(B76-ybar)^2</f>
        <v>4.4780202844444512E-2</v>
      </c>
      <c r="D76">
        <f t="shared" si="1"/>
        <v>1.9332121599999998E-2</v>
      </c>
    </row>
    <row r="77" spans="1:4" x14ac:dyDescent="0.3">
      <c r="A77">
        <v>0.30595</v>
      </c>
      <c r="B77">
        <v>0.222</v>
      </c>
      <c r="C77">
        <f>(B77-ybar)^2</f>
        <v>3.1821802844444386E-2</v>
      </c>
      <c r="D77">
        <f t="shared" si="1"/>
        <v>7.0476024999999998E-3</v>
      </c>
    </row>
    <row r="78" spans="1:4" x14ac:dyDescent="0.3">
      <c r="A78">
        <v>0.30429</v>
      </c>
      <c r="B78">
        <v>0.32700000000000001</v>
      </c>
      <c r="C78">
        <f>(B78-ybar)^2</f>
        <v>5.3856028444444187E-3</v>
      </c>
      <c r="D78">
        <f t="shared" si="1"/>
        <v>5.1574410000000041E-4</v>
      </c>
    </row>
    <row r="79" spans="1:4" x14ac:dyDescent="0.3">
      <c r="A79">
        <v>0.55486999999999997</v>
      </c>
      <c r="B79">
        <v>0.56299999999999994</v>
      </c>
      <c r="C79">
        <f>(B79-ybar)^2</f>
        <v>2.6443096177777813E-2</v>
      </c>
      <c r="D79">
        <f t="shared" si="1"/>
        <v>6.609689999999952E-5</v>
      </c>
    </row>
    <row r="80" spans="1:4" x14ac:dyDescent="0.3">
      <c r="A80">
        <v>0.46499000000000001</v>
      </c>
      <c r="B80">
        <v>0.40200000000000002</v>
      </c>
      <c r="C80">
        <f>(B80-ybar)^2</f>
        <v>2.6028444444450533E-6</v>
      </c>
      <c r="D80">
        <f t="shared" si="1"/>
        <v>3.9677400999999987E-3</v>
      </c>
    </row>
    <row r="81" spans="1:4" x14ac:dyDescent="0.3">
      <c r="A81">
        <v>0.64310999999999996</v>
      </c>
      <c r="B81">
        <v>0.72699999999999998</v>
      </c>
      <c r="C81">
        <f>(B81-ybar)^2</f>
        <v>0.1066762695111112</v>
      </c>
      <c r="D81">
        <f t="shared" si="1"/>
        <v>7.0375321000000031E-3</v>
      </c>
    </row>
    <row r="82" spans="1:4" x14ac:dyDescent="0.3">
      <c r="A82">
        <v>0.51058000000000003</v>
      </c>
      <c r="B82">
        <v>0.5</v>
      </c>
      <c r="C82">
        <f>(B82-ybar)^2</f>
        <v>9.9228161777778108E-3</v>
      </c>
      <c r="D82">
        <f t="shared" si="1"/>
        <v>1.1193640000000071E-4</v>
      </c>
    </row>
    <row r="83" spans="1:4" x14ac:dyDescent="0.3">
      <c r="A83">
        <v>0.29671999999999998</v>
      </c>
      <c r="B83">
        <v>0.183</v>
      </c>
      <c r="C83">
        <f>(B83-ybar)^2</f>
        <v>4.7256962844444375E-2</v>
      </c>
      <c r="D83">
        <f t="shared" si="1"/>
        <v>1.2932238399999997E-2</v>
      </c>
    </row>
    <row r="84" spans="1:4" x14ac:dyDescent="0.3">
      <c r="A84">
        <v>0.47672999999999999</v>
      </c>
      <c r="B84">
        <v>0.55600000000000005</v>
      </c>
      <c r="C84">
        <f>(B84-ybar)^2</f>
        <v>2.4215509511111177E-2</v>
      </c>
      <c r="D84">
        <f t="shared" si="1"/>
        <v>6.2837329000000096E-3</v>
      </c>
    </row>
    <row r="85" spans="1:4" x14ac:dyDescent="0.3">
      <c r="A85">
        <v>0.44679999999999997</v>
      </c>
      <c r="B85">
        <v>0.377</v>
      </c>
      <c r="C85">
        <f>(B85-ybar)^2</f>
        <v>5.4693617777776997E-4</v>
      </c>
      <c r="D85">
        <f t="shared" si="1"/>
        <v>4.8720399999999959E-3</v>
      </c>
    </row>
    <row r="86" spans="1:4" x14ac:dyDescent="0.3">
      <c r="A86">
        <v>0.32929999999999998</v>
      </c>
      <c r="B86">
        <v>0.36</v>
      </c>
      <c r="C86">
        <f>(B86-ybar)^2</f>
        <v>1.6310828444444322E-3</v>
      </c>
      <c r="D86">
        <f t="shared" si="1"/>
        <v>9.4249000000000036E-4</v>
      </c>
    </row>
    <row r="87" spans="1:4" x14ac:dyDescent="0.3">
      <c r="A87">
        <v>0.55591999999999997</v>
      </c>
      <c r="B87">
        <v>0.46800000000000003</v>
      </c>
      <c r="C87">
        <f>(B87-ybar)^2</f>
        <v>4.5715628444444704E-3</v>
      </c>
      <c r="D87">
        <f t="shared" si="1"/>
        <v>7.7299263999999895E-3</v>
      </c>
    </row>
    <row r="88" spans="1:4" x14ac:dyDescent="0.3">
      <c r="A88">
        <v>0.49284</v>
      </c>
      <c r="B88">
        <v>0.56999999999999995</v>
      </c>
      <c r="C88">
        <f>(B88-ybar)^2</f>
        <v>2.8768682844444483E-2</v>
      </c>
      <c r="D88">
        <f t="shared" si="1"/>
        <v>5.9536655999999927E-3</v>
      </c>
    </row>
    <row r="89" spans="1:4" x14ac:dyDescent="0.3">
      <c r="A89">
        <v>0.37787999999999999</v>
      </c>
      <c r="B89">
        <v>0.33500000000000002</v>
      </c>
      <c r="C89">
        <f>(B89-ybar)^2</f>
        <v>4.2754161777777532E-3</v>
      </c>
      <c r="D89">
        <f t="shared" si="1"/>
        <v>1.8386943999999978E-3</v>
      </c>
    </row>
    <row r="90" spans="1:4" x14ac:dyDescent="0.3">
      <c r="A90">
        <v>0.31866</v>
      </c>
      <c r="B90">
        <v>0.434</v>
      </c>
      <c r="C90">
        <f>(B90-ybar)^2</f>
        <v>1.1298561777777886E-3</v>
      </c>
      <c r="D90">
        <f t="shared" si="1"/>
        <v>1.3303315599999999E-2</v>
      </c>
    </row>
    <row r="91" spans="1:4" x14ac:dyDescent="0.3">
      <c r="A91">
        <v>0.38712000000000002</v>
      </c>
      <c r="B91">
        <v>0.36899999999999999</v>
      </c>
      <c r="C91">
        <f>(B91-ybar)^2</f>
        <v>9.8512284444443447E-4</v>
      </c>
      <c r="D91">
        <f t="shared" si="1"/>
        <v>3.283344000000009E-4</v>
      </c>
    </row>
    <row r="92" spans="1:4" x14ac:dyDescent="0.3">
      <c r="A92">
        <v>0.33789000000000002</v>
      </c>
      <c r="B92">
        <v>0.41</v>
      </c>
      <c r="C92">
        <f>(B92-ybar)^2</f>
        <v>9.241617777778047E-5</v>
      </c>
      <c r="D92">
        <f t="shared" si="1"/>
        <v>5.1998520999999931E-3</v>
      </c>
    </row>
    <row r="93" spans="1:4" x14ac:dyDescent="0.3">
      <c r="A93">
        <v>0.30065999999999998</v>
      </c>
      <c r="B93">
        <v>0.35499999999999998</v>
      </c>
      <c r="C93">
        <f>(B93-ybar)^2</f>
        <v>2.0599495111110976E-3</v>
      </c>
      <c r="D93">
        <f t="shared" si="1"/>
        <v>2.9528355999999998E-3</v>
      </c>
    </row>
    <row r="94" spans="1:4" x14ac:dyDescent="0.3">
      <c r="A94">
        <v>0.31902000000000003</v>
      </c>
      <c r="B94">
        <v>0.313</v>
      </c>
      <c r="C94">
        <f>(B94-ybar)^2</f>
        <v>7.6364295111110824E-3</v>
      </c>
      <c r="D94">
        <f t="shared" si="1"/>
        <v>3.6240400000000304E-5</v>
      </c>
    </row>
    <row r="95" spans="1:4" x14ac:dyDescent="0.3">
      <c r="A95">
        <v>0.42886000000000002</v>
      </c>
      <c r="B95">
        <v>0.44900000000000001</v>
      </c>
      <c r="C95">
        <f>(B95-ybar)^2</f>
        <v>2.3632561777777949E-3</v>
      </c>
      <c r="D95">
        <f t="shared" si="1"/>
        <v>4.0561959999999963E-4</v>
      </c>
    </row>
    <row r="96" spans="1:4" x14ac:dyDescent="0.3">
      <c r="A96">
        <v>0.20937</v>
      </c>
      <c r="B96">
        <v>0.192</v>
      </c>
      <c r="C96">
        <f>(B96-ybar)^2</f>
        <v>4.3425002844444373E-2</v>
      </c>
      <c r="D96">
        <f t="shared" si="1"/>
        <v>3.0171689999999987E-4</v>
      </c>
    </row>
    <row r="97" spans="1:4" x14ac:dyDescent="0.3">
      <c r="A97">
        <v>0.40394999999999998</v>
      </c>
      <c r="B97">
        <v>0.42</v>
      </c>
      <c r="C97">
        <f>(B97-ybar)^2</f>
        <v>3.8468284444445031E-4</v>
      </c>
      <c r="D97">
        <f t="shared" si="1"/>
        <v>2.5760250000000028E-4</v>
      </c>
    </row>
    <row r="98" spans="1:4" x14ac:dyDescent="0.3">
      <c r="A98">
        <v>0.50490000000000002</v>
      </c>
      <c r="B98">
        <v>0.55900000000000005</v>
      </c>
      <c r="C98">
        <f>(B98-ybar)^2</f>
        <v>2.5158189511111179E-2</v>
      </c>
      <c r="D98">
        <f t="shared" si="1"/>
        <v>2.9268100000000041E-3</v>
      </c>
    </row>
    <row r="99" spans="1:4" x14ac:dyDescent="0.3">
      <c r="A99">
        <v>0.29015999999999997</v>
      </c>
      <c r="B99">
        <v>0.443</v>
      </c>
      <c r="C99">
        <f>(B99-ybar)^2</f>
        <v>1.8158961777777923E-3</v>
      </c>
      <c r="D99">
        <f t="shared" si="1"/>
        <v>2.3360065600000011E-2</v>
      </c>
    </row>
    <row r="100" spans="1:4" x14ac:dyDescent="0.3">
      <c r="A100">
        <v>0.38923999999999997</v>
      </c>
      <c r="B100">
        <v>0.316</v>
      </c>
      <c r="C100">
        <f>(B100-ybar)^2</f>
        <v>7.1211095111110827E-3</v>
      </c>
      <c r="D100">
        <f t="shared" si="1"/>
        <v>5.3640975999999958E-3</v>
      </c>
    </row>
    <row r="101" spans="1:4" x14ac:dyDescent="0.3">
      <c r="A101">
        <v>0.27040999999999998</v>
      </c>
      <c r="B101">
        <v>0.3</v>
      </c>
      <c r="C101">
        <f>(B101-ybar)^2</f>
        <v>1.0077482844444414E-2</v>
      </c>
      <c r="D101">
        <f t="shared" si="1"/>
        <v>8.7556810000000032E-4</v>
      </c>
    </row>
    <row r="102" spans="1:4" x14ac:dyDescent="0.3">
      <c r="A102">
        <v>0.29374</v>
      </c>
      <c r="B102">
        <v>0.36</v>
      </c>
      <c r="C102">
        <f>(B102-ybar)^2</f>
        <v>1.6310828444444322E-3</v>
      </c>
      <c r="D102">
        <f t="shared" si="1"/>
        <v>4.3903875999999984E-3</v>
      </c>
    </row>
    <row r="103" spans="1:4" x14ac:dyDescent="0.3">
      <c r="A103">
        <v>0.36868000000000001</v>
      </c>
      <c r="B103">
        <v>0.33500000000000002</v>
      </c>
      <c r="C103">
        <f>(B103-ybar)^2</f>
        <v>4.2754161777777532E-3</v>
      </c>
      <c r="D103">
        <f t="shared" si="1"/>
        <v>1.1343423999999993E-3</v>
      </c>
    </row>
    <row r="104" spans="1:4" x14ac:dyDescent="0.3">
      <c r="A104">
        <v>0.26073000000000002</v>
      </c>
      <c r="B104">
        <v>0.33800000000000002</v>
      </c>
      <c r="C104">
        <f>(B104-ybar)^2</f>
        <v>3.8920961777777546E-3</v>
      </c>
      <c r="D104">
        <f t="shared" si="1"/>
        <v>5.9706529000000006E-3</v>
      </c>
    </row>
    <row r="105" spans="1:4" x14ac:dyDescent="0.3">
      <c r="A105">
        <v>0.31324000000000002</v>
      </c>
      <c r="B105">
        <v>0.29199999999999998</v>
      </c>
      <c r="C105">
        <f>(B105-ybar)^2</f>
        <v>1.1747669511111079E-2</v>
      </c>
      <c r="D105">
        <f t="shared" si="1"/>
        <v>4.5113760000000156E-4</v>
      </c>
    </row>
    <row r="106" spans="1:4" x14ac:dyDescent="0.3">
      <c r="A106">
        <v>0.45740999999999998</v>
      </c>
      <c r="B106">
        <v>0.36499999999999999</v>
      </c>
      <c r="C106">
        <f>(B106-ybar)^2</f>
        <v>1.2522161777777667E-3</v>
      </c>
      <c r="D106">
        <f t="shared" si="1"/>
        <v>8.5396080999999985E-3</v>
      </c>
    </row>
    <row r="107" spans="1:4" x14ac:dyDescent="0.3">
      <c r="A107">
        <v>0.42653999999999997</v>
      </c>
      <c r="B107">
        <v>0.33800000000000002</v>
      </c>
      <c r="C107">
        <f>(B107-ybar)^2</f>
        <v>3.8920961777777546E-3</v>
      </c>
      <c r="D107">
        <f t="shared" si="1"/>
        <v>7.8393315999999921E-3</v>
      </c>
    </row>
    <row r="108" spans="1:4" x14ac:dyDescent="0.3">
      <c r="A108">
        <v>0.44211</v>
      </c>
      <c r="B108">
        <v>0.36599999999999999</v>
      </c>
      <c r="C108">
        <f>(B108-ybar)^2</f>
        <v>1.1824428444444336E-3</v>
      </c>
      <c r="D108">
        <f t="shared" si="1"/>
        <v>5.7927321000000014E-3</v>
      </c>
    </row>
    <row r="109" spans="1:4" x14ac:dyDescent="0.3">
      <c r="A109">
        <v>0.43744</v>
      </c>
      <c r="B109">
        <v>0.47699999999999998</v>
      </c>
      <c r="C109">
        <f>(B109-ybar)^2</f>
        <v>5.8696028444444664E-3</v>
      </c>
      <c r="D109">
        <f t="shared" si="1"/>
        <v>1.5649935999999987E-3</v>
      </c>
    </row>
    <row r="110" spans="1:4" x14ac:dyDescent="0.3">
      <c r="A110">
        <v>0.45948</v>
      </c>
      <c r="B110">
        <v>0.47599999999999998</v>
      </c>
      <c r="C110">
        <f>(B110-ybar)^2</f>
        <v>5.7173761777777991E-3</v>
      </c>
      <c r="D110">
        <f t="shared" si="1"/>
        <v>2.7291039999999934E-4</v>
      </c>
    </row>
    <row r="111" spans="1:4" x14ac:dyDescent="0.3">
      <c r="A111">
        <v>0.33440999999999999</v>
      </c>
      <c r="B111">
        <v>0.313</v>
      </c>
      <c r="C111">
        <f>(B111-ybar)^2</f>
        <v>7.6364295111110824E-3</v>
      </c>
      <c r="D111">
        <f t="shared" si="1"/>
        <v>4.5838809999999933E-4</v>
      </c>
    </row>
    <row r="112" spans="1:4" x14ac:dyDescent="0.3">
      <c r="A112">
        <v>0.29698000000000002</v>
      </c>
      <c r="B112">
        <v>0.3</v>
      </c>
      <c r="C112">
        <f>(B112-ybar)^2</f>
        <v>1.0077482844444414E-2</v>
      </c>
      <c r="D112">
        <f t="shared" si="1"/>
        <v>9.1203999999998018E-6</v>
      </c>
    </row>
    <row r="113" spans="1:4" x14ac:dyDescent="0.3">
      <c r="A113">
        <v>0.50651999999999997</v>
      </c>
      <c r="B113">
        <v>0.51400000000000001</v>
      </c>
      <c r="C113">
        <f>(B113-ybar)^2</f>
        <v>1.2907989511111152E-2</v>
      </c>
      <c r="D113">
        <f t="shared" si="1"/>
        <v>5.5950400000000629E-5</v>
      </c>
    </row>
    <row r="114" spans="1:4" x14ac:dyDescent="0.3">
      <c r="A114">
        <v>0.38156000000000001</v>
      </c>
      <c r="B114">
        <v>0.34799999999999998</v>
      </c>
      <c r="C114">
        <f>(B114-ybar)^2</f>
        <v>2.7443628444444295E-3</v>
      </c>
      <c r="D114">
        <f t="shared" si="1"/>
        <v>1.1262736000000023E-3</v>
      </c>
    </row>
    <row r="115" spans="1:4" x14ac:dyDescent="0.3">
      <c r="A115">
        <v>0.47817999999999999</v>
      </c>
      <c r="B115">
        <v>0.43</v>
      </c>
      <c r="C115">
        <f>(B115-ybar)^2</f>
        <v>8.7694951111112046E-4</v>
      </c>
      <c r="D115">
        <f t="shared" si="1"/>
        <v>2.3213124E-3</v>
      </c>
    </row>
    <row r="116" spans="1:4" x14ac:dyDescent="0.3">
      <c r="A116">
        <v>0.29902000000000001</v>
      </c>
      <c r="B116">
        <v>0.27600000000000002</v>
      </c>
      <c r="C116">
        <f>(B116-ybar)^2</f>
        <v>1.5472042844444398E-2</v>
      </c>
      <c r="D116">
        <f t="shared" si="1"/>
        <v>5.2992039999999929E-4</v>
      </c>
    </row>
    <row r="117" spans="1:4" x14ac:dyDescent="0.3">
      <c r="A117">
        <v>0.2374</v>
      </c>
      <c r="B117">
        <v>0.311</v>
      </c>
      <c r="C117">
        <f>(B117-ybar)^2</f>
        <v>7.9899761777777484E-3</v>
      </c>
      <c r="D117">
        <f t="shared" si="1"/>
        <v>5.4169600000000002E-3</v>
      </c>
    </row>
    <row r="118" spans="1:4" x14ac:dyDescent="0.3">
      <c r="A118">
        <v>0.36273</v>
      </c>
      <c r="B118">
        <v>0.36199999999999999</v>
      </c>
      <c r="C118">
        <f>(B118-ybar)^2</f>
        <v>1.4735361777777659E-3</v>
      </c>
      <c r="D118">
        <f t="shared" si="1"/>
        <v>5.329000000000123E-7</v>
      </c>
    </row>
    <row r="119" spans="1:4" x14ac:dyDescent="0.3">
      <c r="A119">
        <v>0.38451999999999997</v>
      </c>
      <c r="B119">
        <v>0.39300000000000002</v>
      </c>
      <c r="C119">
        <f>(B119-ybar)^2</f>
        <v>5.4562844444441778E-5</v>
      </c>
      <c r="D119">
        <f t="shared" si="1"/>
        <v>7.1910400000000727E-5</v>
      </c>
    </row>
    <row r="120" spans="1:4" x14ac:dyDescent="0.3">
      <c r="A120">
        <v>0.50261999999999996</v>
      </c>
      <c r="B120">
        <v>0.48599999999999999</v>
      </c>
      <c r="C120">
        <f>(B120-ybar)^2</f>
        <v>7.3296428444444709E-3</v>
      </c>
      <c r="D120">
        <f t="shared" si="1"/>
        <v>2.7622439999999893E-4</v>
      </c>
    </row>
    <row r="121" spans="1:4" x14ac:dyDescent="0.3">
      <c r="A121">
        <v>0.4073</v>
      </c>
      <c r="B121">
        <v>0.41499999999999998</v>
      </c>
      <c r="C121">
        <f>(B121-ybar)^2</f>
        <v>2.1354951111111534E-4</v>
      </c>
      <c r="D121">
        <f t="shared" si="1"/>
        <v>5.9289999999999766E-5</v>
      </c>
    </row>
    <row r="122" spans="1:4" x14ac:dyDescent="0.3">
      <c r="A122">
        <v>0.37585000000000002</v>
      </c>
      <c r="B122">
        <v>0.41299999999999998</v>
      </c>
      <c r="C122">
        <f>(B122-ybar)^2</f>
        <v>1.5909617777778138E-4</v>
      </c>
      <c r="D122">
        <f t="shared" si="1"/>
        <v>1.380122499999997E-3</v>
      </c>
    </row>
    <row r="123" spans="1:4" x14ac:dyDescent="0.3">
      <c r="A123">
        <v>0.44573000000000002</v>
      </c>
      <c r="B123">
        <v>0.28299999999999997</v>
      </c>
      <c r="C123">
        <f>(B123-ybar)^2</f>
        <v>1.3779629511111079E-2</v>
      </c>
      <c r="D123">
        <f t="shared" si="1"/>
        <v>2.6481052900000013E-2</v>
      </c>
    </row>
    <row r="124" spans="1:4" x14ac:dyDescent="0.3">
      <c r="A124">
        <v>0.31374000000000002</v>
      </c>
      <c r="B124">
        <v>0.38300000000000001</v>
      </c>
      <c r="C124">
        <f>(B124-ybar)^2</f>
        <v>3.022961777777718E-4</v>
      </c>
      <c r="D124">
        <f t="shared" si="1"/>
        <v>4.7969475999999987E-3</v>
      </c>
    </row>
    <row r="125" spans="1:4" x14ac:dyDescent="0.3">
      <c r="A125">
        <v>0.28273999999999999</v>
      </c>
      <c r="B125">
        <v>0.2</v>
      </c>
      <c r="C125">
        <f>(B125-ybar)^2</f>
        <v>4.0154816177777705E-2</v>
      </c>
      <c r="D125">
        <f t="shared" si="1"/>
        <v>6.8459075999999968E-3</v>
      </c>
    </row>
    <row r="126" spans="1:4" x14ac:dyDescent="0.3">
      <c r="A126">
        <v>0.37935000000000002</v>
      </c>
      <c r="B126">
        <v>0.23</v>
      </c>
      <c r="C126">
        <f>(B126-ybar)^2</f>
        <v>2.9031616177777719E-2</v>
      </c>
      <c r="D126">
        <f t="shared" si="1"/>
        <v>2.2305422500000002E-2</v>
      </c>
    </row>
    <row r="127" spans="1:4" x14ac:dyDescent="0.3">
      <c r="A127">
        <v>0.37107000000000001</v>
      </c>
      <c r="B127">
        <v>0.39600000000000002</v>
      </c>
      <c r="C127">
        <f>(B127-ybar)^2</f>
        <v>1.9242844444442834E-5</v>
      </c>
      <c r="D127">
        <f t="shared" si="1"/>
        <v>6.2150490000000035E-4</v>
      </c>
    </row>
    <row r="128" spans="1:4" x14ac:dyDescent="0.3">
      <c r="A128">
        <v>0.46989999999999998</v>
      </c>
      <c r="B128">
        <v>0.44800000000000001</v>
      </c>
      <c r="C128">
        <f>(B128-ybar)^2</f>
        <v>2.2670295111111276E-3</v>
      </c>
      <c r="D128">
        <f t="shared" si="1"/>
        <v>4.7960999999999891E-4</v>
      </c>
    </row>
    <row r="129" spans="1:4" x14ac:dyDescent="0.3">
      <c r="A129">
        <v>0.48553000000000002</v>
      </c>
      <c r="B129">
        <v>0.48599999999999999</v>
      </c>
      <c r="C129">
        <f>(B129-ybar)^2</f>
        <v>7.3296428444444709E-3</v>
      </c>
      <c r="D129">
        <f t="shared" si="1"/>
        <v>2.2089999999997221E-7</v>
      </c>
    </row>
    <row r="130" spans="1:4" x14ac:dyDescent="0.3">
      <c r="A130">
        <v>0.41272999999999999</v>
      </c>
      <c r="B130">
        <v>0.44600000000000001</v>
      </c>
      <c r="C130">
        <f>(B130-ybar)^2</f>
        <v>2.0805761777777936E-3</v>
      </c>
      <c r="D130">
        <f t="shared" si="1"/>
        <v>1.1068929000000016E-3</v>
      </c>
    </row>
    <row r="131" spans="1:4" x14ac:dyDescent="0.3">
      <c r="A131">
        <v>0.53054000000000001</v>
      </c>
      <c r="B131">
        <v>0.36599999999999999</v>
      </c>
      <c r="C131">
        <f>(B131-ybar)^2</f>
        <v>1.1824428444444336E-3</v>
      </c>
      <c r="D131">
        <f t="shared" ref="D131:D194" si="2">(B131-A131)^2</f>
        <v>2.7073411600000007E-2</v>
      </c>
    </row>
    <row r="132" spans="1:4" x14ac:dyDescent="0.3">
      <c r="A132">
        <v>0.26040999999999997</v>
      </c>
      <c r="B132">
        <v>0.20499999999999999</v>
      </c>
      <c r="C132">
        <f>(B132-ybar)^2</f>
        <v>3.817594951111105E-2</v>
      </c>
      <c r="D132">
        <f t="shared" si="2"/>
        <v>3.0702680999999984E-3</v>
      </c>
    </row>
    <row r="133" spans="1:4" x14ac:dyDescent="0.3">
      <c r="A133">
        <v>0.22993</v>
      </c>
      <c r="B133">
        <v>0.224</v>
      </c>
      <c r="C133">
        <f>(B133-ybar)^2</f>
        <v>3.1112256177777717E-2</v>
      </c>
      <c r="D133">
        <f t="shared" si="2"/>
        <v>3.5164899999999891E-5</v>
      </c>
    </row>
    <row r="134" spans="1:4" x14ac:dyDescent="0.3">
      <c r="A134">
        <v>0.50273999999999996</v>
      </c>
      <c r="B134">
        <v>0.47</v>
      </c>
      <c r="C134">
        <f>(B134-ybar)^2</f>
        <v>4.8460161777777967E-3</v>
      </c>
      <c r="D134">
        <f t="shared" si="2"/>
        <v>1.0719075999999995E-3</v>
      </c>
    </row>
    <row r="135" spans="1:4" x14ac:dyDescent="0.3">
      <c r="A135">
        <v>0.45601000000000003</v>
      </c>
      <c r="B135">
        <v>0.45800000000000002</v>
      </c>
      <c r="C135">
        <f>(B135-ybar)^2</f>
        <v>3.3192961777777988E-3</v>
      </c>
      <c r="D135">
        <f t="shared" si="2"/>
        <v>3.9600999999999674E-6</v>
      </c>
    </row>
    <row r="136" spans="1:4" x14ac:dyDescent="0.3">
      <c r="A136">
        <v>0.48623</v>
      </c>
      <c r="B136">
        <v>0.52700000000000002</v>
      </c>
      <c r="C136">
        <f>(B136-ybar)^2</f>
        <v>1.6030936177777826E-2</v>
      </c>
      <c r="D136">
        <f t="shared" si="2"/>
        <v>1.6621929000000023E-3</v>
      </c>
    </row>
    <row r="137" spans="1:4" x14ac:dyDescent="0.3">
      <c r="A137">
        <v>0.42773</v>
      </c>
      <c r="B137">
        <v>0.48099999999999998</v>
      </c>
      <c r="C137">
        <f>(B137-ybar)^2</f>
        <v>6.4985095111111347E-3</v>
      </c>
      <c r="D137">
        <f t="shared" si="2"/>
        <v>2.8376928999999983E-3</v>
      </c>
    </row>
    <row r="138" spans="1:4" x14ac:dyDescent="0.3">
      <c r="A138">
        <v>0.37731999999999999</v>
      </c>
      <c r="B138">
        <v>0.437</v>
      </c>
      <c r="C138">
        <f>(B138-ybar)^2</f>
        <v>1.3405361777777899E-3</v>
      </c>
      <c r="D138">
        <f t="shared" si="2"/>
        <v>3.5617024000000014E-3</v>
      </c>
    </row>
    <row r="139" spans="1:4" x14ac:dyDescent="0.3">
      <c r="A139">
        <v>0.41998000000000002</v>
      </c>
      <c r="B139">
        <v>0.47199999999999998</v>
      </c>
      <c r="C139">
        <f>(B139-ybar)^2</f>
        <v>5.1284695111111309E-3</v>
      </c>
      <c r="D139">
        <f t="shared" si="2"/>
        <v>2.7060803999999954E-3</v>
      </c>
    </row>
    <row r="140" spans="1:4" x14ac:dyDescent="0.3">
      <c r="A140">
        <v>0.27682000000000001</v>
      </c>
      <c r="B140">
        <v>0.42399999999999999</v>
      </c>
      <c r="C140">
        <f>(B140-ybar)^2</f>
        <v>5.5758951111111832E-4</v>
      </c>
      <c r="D140">
        <f t="shared" si="2"/>
        <v>2.1661952399999993E-2</v>
      </c>
    </row>
    <row r="141" spans="1:4" x14ac:dyDescent="0.3">
      <c r="A141">
        <v>0.51468000000000003</v>
      </c>
      <c r="B141">
        <v>0.48199999999999998</v>
      </c>
      <c r="C141">
        <f>(B141-ybar)^2</f>
        <v>6.6607361777778025E-3</v>
      </c>
      <c r="D141">
        <f t="shared" si="2"/>
        <v>1.0679824000000028E-3</v>
      </c>
    </row>
    <row r="142" spans="1:4" x14ac:dyDescent="0.3">
      <c r="A142">
        <v>0.51265000000000005</v>
      </c>
      <c r="B142">
        <v>0.57599999999999996</v>
      </c>
      <c r="C142">
        <f>(B142-ybar)^2</f>
        <v>3.0840042844444488E-2</v>
      </c>
      <c r="D142">
        <f t="shared" si="2"/>
        <v>4.0132224999999879E-3</v>
      </c>
    </row>
    <row r="143" spans="1:4" x14ac:dyDescent="0.3">
      <c r="A143">
        <v>0.37898999999999999</v>
      </c>
      <c r="B143">
        <v>0.54800000000000004</v>
      </c>
      <c r="C143">
        <f>(B143-ybar)^2</f>
        <v>2.1789696177777838E-2</v>
      </c>
      <c r="D143">
        <f t="shared" si="2"/>
        <v>2.8564380100000016E-2</v>
      </c>
    </row>
    <row r="144" spans="1:4" x14ac:dyDescent="0.3">
      <c r="A144">
        <v>0.46185999999999999</v>
      </c>
      <c r="B144">
        <v>0.36399999999999999</v>
      </c>
      <c r="C144">
        <f>(B144-ybar)^2</f>
        <v>1.3239895111110999E-3</v>
      </c>
      <c r="D144">
        <f t="shared" si="2"/>
        <v>9.5765796000000011E-3</v>
      </c>
    </row>
    <row r="145" spans="1:4" x14ac:dyDescent="0.3">
      <c r="A145">
        <v>0.36255999999999999</v>
      </c>
      <c r="B145">
        <v>0.43</v>
      </c>
      <c r="C145">
        <f>(B145-ybar)^2</f>
        <v>8.7694951111112046E-4</v>
      </c>
      <c r="D145">
        <f t="shared" si="2"/>
        <v>4.5481536000000003E-3</v>
      </c>
    </row>
    <row r="146" spans="1:4" x14ac:dyDescent="0.3">
      <c r="A146">
        <v>0.45404</v>
      </c>
      <c r="B146">
        <v>0.36699999999999999</v>
      </c>
      <c r="C146">
        <f>(B146-ybar)^2</f>
        <v>1.1146695111111005E-3</v>
      </c>
      <c r="D146">
        <f t="shared" si="2"/>
        <v>7.5759616000000011E-3</v>
      </c>
    </row>
    <row r="147" spans="1:4" x14ac:dyDescent="0.3">
      <c r="A147">
        <v>0.30875999999999998</v>
      </c>
      <c r="B147">
        <v>0.41099999999999998</v>
      </c>
      <c r="C147">
        <f>(B147-ybar)^2</f>
        <v>1.1264284444444744E-4</v>
      </c>
      <c r="D147">
        <f t="shared" si="2"/>
        <v>1.04530176E-2</v>
      </c>
    </row>
    <row r="148" spans="1:4" x14ac:dyDescent="0.3">
      <c r="A148">
        <v>0.45843</v>
      </c>
      <c r="B148">
        <v>0.45900000000000002</v>
      </c>
      <c r="C148">
        <f>(B148-ybar)^2</f>
        <v>3.4355228444444661E-3</v>
      </c>
      <c r="D148">
        <f t="shared" si="2"/>
        <v>3.2490000000001705E-7</v>
      </c>
    </row>
    <row r="149" spans="1:4" x14ac:dyDescent="0.3">
      <c r="A149">
        <v>0.39456999999999998</v>
      </c>
      <c r="B149">
        <v>0.50600000000000001</v>
      </c>
      <c r="C149">
        <f>(B149-ybar)^2</f>
        <v>1.1154176177777813E-2</v>
      </c>
      <c r="D149">
        <f t="shared" si="2"/>
        <v>1.2416644900000006E-2</v>
      </c>
    </row>
    <row r="150" spans="1:4" x14ac:dyDescent="0.3">
      <c r="A150">
        <v>0.41043000000000002</v>
      </c>
      <c r="B150">
        <v>0.38500000000000001</v>
      </c>
      <c r="C150">
        <f>(B150-ybar)^2</f>
        <v>2.3674951111110577E-4</v>
      </c>
      <c r="D150">
        <f t="shared" si="2"/>
        <v>6.4668490000000043E-4</v>
      </c>
    </row>
    <row r="151" spans="1:4" x14ac:dyDescent="0.3">
      <c r="A151">
        <v>0.42477999999999999</v>
      </c>
      <c r="B151">
        <v>0.56899999999999995</v>
      </c>
      <c r="C151">
        <f>(B151-ybar)^2</f>
        <v>2.8430456177777817E-2</v>
      </c>
      <c r="D151">
        <f t="shared" si="2"/>
        <v>2.079940839999999E-2</v>
      </c>
    </row>
    <row r="152" spans="1:4" x14ac:dyDescent="0.3">
      <c r="A152">
        <v>0.44877</v>
      </c>
      <c r="B152">
        <v>0.34399999999999997</v>
      </c>
      <c r="C152">
        <f>(B152-ybar)^2</f>
        <v>3.1794561777777623E-3</v>
      </c>
      <c r="D152">
        <f t="shared" si="2"/>
        <v>1.0976752900000006E-2</v>
      </c>
    </row>
    <row r="153" spans="1:4" x14ac:dyDescent="0.3">
      <c r="A153">
        <v>0.44622000000000001</v>
      </c>
      <c r="B153">
        <v>0.45900000000000002</v>
      </c>
      <c r="C153">
        <f>(B153-ybar)^2</f>
        <v>3.4355228444444661E-3</v>
      </c>
      <c r="D153">
        <f t="shared" si="2"/>
        <v>1.6332840000000035E-4</v>
      </c>
    </row>
    <row r="154" spans="1:4" x14ac:dyDescent="0.3">
      <c r="A154">
        <v>0.45998</v>
      </c>
      <c r="B154">
        <v>0.45700000000000002</v>
      </c>
      <c r="C154">
        <f>(B154-ybar)^2</f>
        <v>3.2050695111111318E-3</v>
      </c>
      <c r="D154">
        <f t="shared" si="2"/>
        <v>8.8803999999998972E-6</v>
      </c>
    </row>
    <row r="155" spans="1:4" x14ac:dyDescent="0.3">
      <c r="A155">
        <v>0.28831000000000001</v>
      </c>
      <c r="B155">
        <v>0.374</v>
      </c>
      <c r="C155">
        <f>(B155-ybar)^2</f>
        <v>6.9625617777776909E-4</v>
      </c>
      <c r="D155">
        <f t="shared" si="2"/>
        <v>7.3427760999999984E-3</v>
      </c>
    </row>
    <row r="156" spans="1:4" x14ac:dyDescent="0.3">
      <c r="A156">
        <v>0.36698999999999998</v>
      </c>
      <c r="B156">
        <v>0.437</v>
      </c>
      <c r="C156">
        <f>(B156-ybar)^2</f>
        <v>1.3405361777777899E-3</v>
      </c>
      <c r="D156">
        <f t="shared" si="2"/>
        <v>4.9014001000000024E-3</v>
      </c>
    </row>
    <row r="157" spans="1:4" x14ac:dyDescent="0.3">
      <c r="A157">
        <v>0.44351000000000002</v>
      </c>
      <c r="B157">
        <v>0.35799999999999998</v>
      </c>
      <c r="C157">
        <f>(B157-ybar)^2</f>
        <v>1.7966295111110984E-3</v>
      </c>
      <c r="D157">
        <f t="shared" si="2"/>
        <v>7.311960100000005E-3</v>
      </c>
    </row>
    <row r="158" spans="1:4" x14ac:dyDescent="0.3">
      <c r="A158">
        <v>0.37028</v>
      </c>
      <c r="B158">
        <v>0.44400000000000001</v>
      </c>
      <c r="C158">
        <f>(B158-ybar)^2</f>
        <v>1.9021228444444593E-3</v>
      </c>
      <c r="D158">
        <f t="shared" si="2"/>
        <v>5.4346384000000013E-3</v>
      </c>
    </row>
    <row r="159" spans="1:4" x14ac:dyDescent="0.3">
      <c r="A159">
        <v>0.31164999999999998</v>
      </c>
      <c r="B159">
        <v>0.42199999999999999</v>
      </c>
      <c r="C159">
        <f>(B159-ybar)^2</f>
        <v>4.671361777777843E-4</v>
      </c>
      <c r="D159">
        <f t="shared" si="2"/>
        <v>1.21771225E-2</v>
      </c>
    </row>
    <row r="160" spans="1:4" x14ac:dyDescent="0.3">
      <c r="A160">
        <v>0.24401999999999999</v>
      </c>
      <c r="B160">
        <v>0.13600000000000001</v>
      </c>
      <c r="C160">
        <f>(B160-ybar)^2</f>
        <v>6.9900309511111022E-2</v>
      </c>
      <c r="D160">
        <f t="shared" si="2"/>
        <v>1.1668320399999994E-2</v>
      </c>
    </row>
    <row r="161" spans="1:4" x14ac:dyDescent="0.3">
      <c r="A161">
        <v>0.53193999999999997</v>
      </c>
      <c r="B161">
        <v>0.54800000000000004</v>
      </c>
      <c r="C161">
        <f>(B161-ybar)^2</f>
        <v>2.1789696177777838E-2</v>
      </c>
      <c r="D161">
        <f t="shared" si="2"/>
        <v>2.5792360000000239E-4</v>
      </c>
    </row>
    <row r="162" spans="1:4" x14ac:dyDescent="0.3">
      <c r="A162">
        <v>0.25352999999999998</v>
      </c>
      <c r="B162">
        <v>0.29899999999999999</v>
      </c>
      <c r="C162">
        <f>(B162-ybar)^2</f>
        <v>1.0279256177777746E-2</v>
      </c>
      <c r="D162">
        <f t="shared" si="2"/>
        <v>2.0675209000000009E-3</v>
      </c>
    </row>
    <row r="163" spans="1:4" x14ac:dyDescent="0.3">
      <c r="A163">
        <v>0.47345999999999999</v>
      </c>
      <c r="B163">
        <v>0.34200000000000003</v>
      </c>
      <c r="C163">
        <f>(B163-ybar)^2</f>
        <v>3.4090028444444223E-3</v>
      </c>
      <c r="D163">
        <f t="shared" si="2"/>
        <v>1.7281731599999992E-2</v>
      </c>
    </row>
    <row r="164" spans="1:4" x14ac:dyDescent="0.3">
      <c r="A164">
        <v>0.43863999999999997</v>
      </c>
      <c r="B164">
        <v>0.40699999999999997</v>
      </c>
      <c r="C164">
        <f>(B164-ybar)^2</f>
        <v>4.3736177777779595E-5</v>
      </c>
      <c r="D164">
        <f t="shared" si="2"/>
        <v>1.0010896000000001E-3</v>
      </c>
    </row>
    <row r="165" spans="1:4" x14ac:dyDescent="0.3">
      <c r="A165">
        <v>0.30019000000000001</v>
      </c>
      <c r="B165">
        <v>0.16400000000000001</v>
      </c>
      <c r="C165">
        <f>(B165-ybar)^2</f>
        <v>5.5878656177777694E-2</v>
      </c>
      <c r="D165">
        <f t="shared" si="2"/>
        <v>1.85477161E-2</v>
      </c>
    </row>
    <row r="166" spans="1:4" x14ac:dyDescent="0.3">
      <c r="A166">
        <v>0.28738999999999998</v>
      </c>
      <c r="B166">
        <v>0.23799999999999999</v>
      </c>
      <c r="C166">
        <f>(B166-ybar)^2</f>
        <v>2.636942951111106E-2</v>
      </c>
      <c r="D166">
        <f t="shared" si="2"/>
        <v>2.4393720999999991E-3</v>
      </c>
    </row>
    <row r="167" spans="1:4" x14ac:dyDescent="0.3">
      <c r="A167">
        <v>0.50161</v>
      </c>
      <c r="B167">
        <v>0.59299999999999997</v>
      </c>
      <c r="C167">
        <f>(B167-ybar)^2</f>
        <v>3.7099896177777827E-2</v>
      </c>
      <c r="D167">
        <f t="shared" si="2"/>
        <v>8.3521320999999944E-3</v>
      </c>
    </row>
    <row r="168" spans="1:4" x14ac:dyDescent="0.3">
      <c r="A168">
        <v>0.30790000000000001</v>
      </c>
      <c r="B168">
        <v>0.372</v>
      </c>
      <c r="C168">
        <f>(B168-ybar)^2</f>
        <v>8.0580284444443527E-4</v>
      </c>
      <c r="D168">
        <f t="shared" si="2"/>
        <v>4.1088099999999983E-3</v>
      </c>
    </row>
    <row r="169" spans="1:4" x14ac:dyDescent="0.3">
      <c r="A169">
        <v>0.50000999999999995</v>
      </c>
      <c r="B169">
        <v>0.53800000000000003</v>
      </c>
      <c r="C169">
        <f>(B169-ybar)^2</f>
        <v>1.8937429511111166E-2</v>
      </c>
      <c r="D169">
        <f t="shared" si="2"/>
        <v>1.443240100000006E-3</v>
      </c>
    </row>
    <row r="170" spans="1:4" x14ac:dyDescent="0.3">
      <c r="A170">
        <v>0.40255999999999997</v>
      </c>
      <c r="B170">
        <v>0.36399999999999999</v>
      </c>
      <c r="C170">
        <f>(B170-ybar)^2</f>
        <v>1.3239895111110999E-3</v>
      </c>
      <c r="D170">
        <f t="shared" si="2"/>
        <v>1.4868735999999988E-3</v>
      </c>
    </row>
    <row r="171" spans="1:4" x14ac:dyDescent="0.3">
      <c r="A171">
        <v>0.33548</v>
      </c>
      <c r="B171">
        <v>0.34399999999999997</v>
      </c>
      <c r="C171">
        <f>(B171-ybar)^2</f>
        <v>3.1794561777777623E-3</v>
      </c>
      <c r="D171">
        <f t="shared" si="2"/>
        <v>7.2590399999999521E-5</v>
      </c>
    </row>
    <row r="172" spans="1:4" x14ac:dyDescent="0.3">
      <c r="A172">
        <v>0.47395999999999999</v>
      </c>
      <c r="B172">
        <v>0.46100000000000002</v>
      </c>
      <c r="C172">
        <f>(B172-ybar)^2</f>
        <v>3.6739761777778001E-3</v>
      </c>
      <c r="D172">
        <f t="shared" si="2"/>
        <v>1.6796159999999926E-4</v>
      </c>
    </row>
    <row r="173" spans="1:4" x14ac:dyDescent="0.3">
      <c r="A173">
        <v>0.26705000000000001</v>
      </c>
      <c r="B173">
        <v>0.27400000000000002</v>
      </c>
      <c r="C173">
        <f>(B173-ybar)^2</f>
        <v>1.5973589511111063E-2</v>
      </c>
      <c r="D173">
        <f t="shared" si="2"/>
        <v>4.8302500000000163E-5</v>
      </c>
    </row>
    <row r="174" spans="1:4" x14ac:dyDescent="0.3">
      <c r="A174">
        <v>0.24303</v>
      </c>
      <c r="B174">
        <v>0.191</v>
      </c>
      <c r="C174">
        <f>(B174-ybar)^2</f>
        <v>4.3842776177777709E-2</v>
      </c>
      <c r="D174">
        <f t="shared" si="2"/>
        <v>2.7071208999999994E-3</v>
      </c>
    </row>
    <row r="175" spans="1:4" x14ac:dyDescent="0.3">
      <c r="A175">
        <v>0.39267000000000002</v>
      </c>
      <c r="B175">
        <v>0.36499999999999999</v>
      </c>
      <c r="C175">
        <f>(B175-ybar)^2</f>
        <v>1.2522161777777667E-3</v>
      </c>
      <c r="D175">
        <f t="shared" si="2"/>
        <v>7.6562890000000158E-4</v>
      </c>
    </row>
    <row r="176" spans="1:4" x14ac:dyDescent="0.3">
      <c r="A176">
        <v>0.46232000000000001</v>
      </c>
      <c r="B176">
        <v>0.51300000000000001</v>
      </c>
      <c r="C176">
        <f>(B176-ybar)^2</f>
        <v>1.2681762844444484E-2</v>
      </c>
      <c r="D176">
        <f t="shared" si="2"/>
        <v>2.5684624000000002E-3</v>
      </c>
    </row>
    <row r="177" spans="1:4" x14ac:dyDescent="0.3">
      <c r="A177">
        <v>0.50726000000000004</v>
      </c>
      <c r="B177">
        <v>0.47299999999999998</v>
      </c>
      <c r="C177">
        <f>(B177-ybar)^2</f>
        <v>5.272696177777798E-3</v>
      </c>
      <c r="D177">
        <f t="shared" si="2"/>
        <v>1.1737476000000047E-3</v>
      </c>
    </row>
    <row r="178" spans="1:4" x14ac:dyDescent="0.3">
      <c r="A178">
        <v>0.25291000000000002</v>
      </c>
      <c r="B178">
        <v>0.17199999999999999</v>
      </c>
      <c r="C178">
        <f>(B178-ybar)^2</f>
        <v>5.2160469511111043E-2</v>
      </c>
      <c r="D178">
        <f t="shared" si="2"/>
        <v>6.5464281000000056E-3</v>
      </c>
    </row>
    <row r="179" spans="1:4" x14ac:dyDescent="0.3">
      <c r="A179">
        <v>0.43445</v>
      </c>
      <c r="B179">
        <v>0.44500000000000001</v>
      </c>
      <c r="C179">
        <f>(B179-ybar)^2</f>
        <v>1.9903495111111263E-3</v>
      </c>
      <c r="D179">
        <f t="shared" si="2"/>
        <v>1.1130250000000007E-4</v>
      </c>
    </row>
    <row r="180" spans="1:4" x14ac:dyDescent="0.3">
      <c r="A180">
        <v>0.37556</v>
      </c>
      <c r="B180">
        <v>0.39900000000000002</v>
      </c>
      <c r="C180">
        <f>(B180-ybar)^2</f>
        <v>1.9228444444439286E-6</v>
      </c>
      <c r="D180">
        <f t="shared" si="2"/>
        <v>5.4943360000000074E-4</v>
      </c>
    </row>
    <row r="181" spans="1:4" x14ac:dyDescent="0.3">
      <c r="A181">
        <v>0.65280000000000005</v>
      </c>
      <c r="B181">
        <v>0.501</v>
      </c>
      <c r="C181">
        <f>(B181-ybar)^2</f>
        <v>1.0123042844444478E-2</v>
      </c>
      <c r="D181">
        <f t="shared" si="2"/>
        <v>2.3043240000000013E-2</v>
      </c>
    </row>
    <row r="182" spans="1:4" x14ac:dyDescent="0.3">
      <c r="A182">
        <v>0.51332</v>
      </c>
      <c r="B182">
        <v>0.499</v>
      </c>
      <c r="C182">
        <f>(B182-ybar)^2</f>
        <v>9.7245895111111435E-3</v>
      </c>
      <c r="D182">
        <f t="shared" si="2"/>
        <v>2.0506239999999997E-4</v>
      </c>
    </row>
    <row r="183" spans="1:4" x14ac:dyDescent="0.3">
      <c r="A183">
        <v>0.32672000000000001</v>
      </c>
      <c r="B183">
        <v>0.20799999999999999</v>
      </c>
      <c r="C183">
        <f>(B183-ybar)^2</f>
        <v>3.7012629511111055E-2</v>
      </c>
      <c r="D183">
        <f t="shared" si="2"/>
        <v>1.4094438400000004E-2</v>
      </c>
    </row>
    <row r="184" spans="1:4" x14ac:dyDescent="0.3">
      <c r="A184">
        <v>0.29357</v>
      </c>
      <c r="B184">
        <v>0.432</v>
      </c>
      <c r="C184">
        <f>(B184-ybar)^2</f>
        <v>9.9940284444445461E-4</v>
      </c>
      <c r="D184">
        <f t="shared" si="2"/>
        <v>1.91628649E-2</v>
      </c>
    </row>
    <row r="185" spans="1:4" x14ac:dyDescent="0.3">
      <c r="A185">
        <v>0.37439</v>
      </c>
      <c r="B185">
        <v>0.377</v>
      </c>
      <c r="C185">
        <f>(B185-ybar)^2</f>
        <v>5.4693617777776997E-4</v>
      </c>
      <c r="D185">
        <f t="shared" si="2"/>
        <v>6.8121000000000063E-6</v>
      </c>
    </row>
    <row r="186" spans="1:4" x14ac:dyDescent="0.3">
      <c r="A186">
        <v>0.27085999999999999</v>
      </c>
      <c r="B186">
        <v>0.33200000000000002</v>
      </c>
      <c r="C186">
        <f>(B186-ybar)^2</f>
        <v>4.6767361777777525E-3</v>
      </c>
      <c r="D186">
        <f t="shared" si="2"/>
        <v>3.7380996000000032E-3</v>
      </c>
    </row>
    <row r="187" spans="1:4" x14ac:dyDescent="0.3">
      <c r="A187">
        <v>0.42520000000000002</v>
      </c>
      <c r="B187">
        <v>0.53</v>
      </c>
      <c r="C187">
        <f>(B187-ybar)^2</f>
        <v>1.6799616177777827E-2</v>
      </c>
      <c r="D187">
        <f t="shared" si="2"/>
        <v>1.0983040000000001E-2</v>
      </c>
    </row>
    <row r="188" spans="1:4" x14ac:dyDescent="0.3">
      <c r="A188">
        <v>0.55810999999999999</v>
      </c>
      <c r="B188">
        <v>0.61599999999999999</v>
      </c>
      <c r="C188">
        <f>(B188-ybar)^2</f>
        <v>4.6489109511111182E-2</v>
      </c>
      <c r="D188">
        <f t="shared" si="2"/>
        <v>3.3512520999999995E-3</v>
      </c>
    </row>
    <row r="189" spans="1:4" x14ac:dyDescent="0.3">
      <c r="A189">
        <v>0.45117000000000002</v>
      </c>
      <c r="B189">
        <v>0.63100000000000001</v>
      </c>
      <c r="C189">
        <f>(B189-ybar)^2</f>
        <v>5.3182509511111191E-2</v>
      </c>
      <c r="D189">
        <f t="shared" si="2"/>
        <v>3.2338828899999998E-2</v>
      </c>
    </row>
    <row r="190" spans="1:4" x14ac:dyDescent="0.3">
      <c r="A190">
        <v>0.40497</v>
      </c>
      <c r="B190">
        <v>0.45800000000000002</v>
      </c>
      <c r="C190">
        <f>(B190-ybar)^2</f>
        <v>3.3192961777777988E-3</v>
      </c>
      <c r="D190">
        <f t="shared" si="2"/>
        <v>2.8121809000000021E-3</v>
      </c>
    </row>
    <row r="191" spans="1:4" x14ac:dyDescent="0.3">
      <c r="A191">
        <v>0.50217999999999996</v>
      </c>
      <c r="B191">
        <v>0.39900000000000002</v>
      </c>
      <c r="C191">
        <f>(B191-ybar)^2</f>
        <v>1.9228444444439286E-6</v>
      </c>
      <c r="D191">
        <f t="shared" si="2"/>
        <v>1.0646112399999987E-2</v>
      </c>
    </row>
    <row r="192" spans="1:4" x14ac:dyDescent="0.3">
      <c r="A192">
        <v>0.35977999999999999</v>
      </c>
      <c r="B192">
        <v>0.36599999999999999</v>
      </c>
      <c r="C192">
        <f>(B192-ybar)^2</f>
        <v>1.1824428444444336E-3</v>
      </c>
      <c r="D192">
        <f t="shared" si="2"/>
        <v>3.8688400000000041E-5</v>
      </c>
    </row>
    <row r="193" spans="1:4" x14ac:dyDescent="0.3">
      <c r="A193">
        <v>0.43813000000000002</v>
      </c>
      <c r="B193">
        <v>0.48099999999999998</v>
      </c>
      <c r="C193">
        <f>(B193-ybar)^2</f>
        <v>6.4985095111111347E-3</v>
      </c>
      <c r="D193">
        <f t="shared" si="2"/>
        <v>1.8378368999999969E-3</v>
      </c>
    </row>
    <row r="194" spans="1:4" x14ac:dyDescent="0.3">
      <c r="A194">
        <v>0.30303999999999998</v>
      </c>
      <c r="B194">
        <v>0.247</v>
      </c>
      <c r="C194">
        <f>(B194-ybar)^2</f>
        <v>2.3527469511111062E-2</v>
      </c>
      <c r="D194">
        <f t="shared" si="2"/>
        <v>3.1404815999999977E-3</v>
      </c>
    </row>
    <row r="195" spans="1:4" x14ac:dyDescent="0.3">
      <c r="A195">
        <v>0.33800000000000002</v>
      </c>
      <c r="B195">
        <v>0.34300000000000003</v>
      </c>
      <c r="C195">
        <f>(B195-ybar)^2</f>
        <v>3.2932295111110892E-3</v>
      </c>
      <c r="D195">
        <f t="shared" ref="D195:D258" si="3">(B195-A195)^2</f>
        <v>2.5000000000000045E-5</v>
      </c>
    </row>
    <row r="196" spans="1:4" x14ac:dyDescent="0.3">
      <c r="A196">
        <v>0.30068</v>
      </c>
      <c r="B196">
        <v>0.22800000000000001</v>
      </c>
      <c r="C196">
        <f>(B196-ybar)^2</f>
        <v>2.9717162844444384E-2</v>
      </c>
      <c r="D196">
        <f t="shared" si="3"/>
        <v>5.2823823999999988E-3</v>
      </c>
    </row>
    <row r="197" spans="1:4" x14ac:dyDescent="0.3">
      <c r="A197">
        <v>0.2944</v>
      </c>
      <c r="B197">
        <v>0.23200000000000001</v>
      </c>
      <c r="C197">
        <f>(B197-ybar)^2</f>
        <v>2.8354069511111052E-2</v>
      </c>
      <c r="D197">
        <f t="shared" si="3"/>
        <v>3.8937599999999978E-3</v>
      </c>
    </row>
    <row r="198" spans="1:4" x14ac:dyDescent="0.3">
      <c r="A198">
        <v>0.25628000000000001</v>
      </c>
      <c r="B198">
        <v>0.30199999999999999</v>
      </c>
      <c r="C198">
        <f>(B198-ybar)^2</f>
        <v>9.6799361777777475E-3</v>
      </c>
      <c r="D198">
        <f t="shared" si="3"/>
        <v>2.0903183999999983E-3</v>
      </c>
    </row>
    <row r="199" spans="1:4" x14ac:dyDescent="0.3">
      <c r="A199">
        <v>0.39922000000000002</v>
      </c>
      <c r="B199">
        <v>0.56299999999999994</v>
      </c>
      <c r="C199">
        <f>(B199-ybar)^2</f>
        <v>2.6443096177777813E-2</v>
      </c>
      <c r="D199">
        <f t="shared" si="3"/>
        <v>2.6823888399999975E-2</v>
      </c>
    </row>
    <row r="200" spans="1:4" x14ac:dyDescent="0.3">
      <c r="A200">
        <v>0.41676999999999997</v>
      </c>
      <c r="B200">
        <v>0.376</v>
      </c>
      <c r="C200">
        <f>(B200-ybar)^2</f>
        <v>5.94709511111103E-4</v>
      </c>
      <c r="D200">
        <f t="shared" si="3"/>
        <v>1.6621928999999978E-3</v>
      </c>
    </row>
    <row r="201" spans="1:4" x14ac:dyDescent="0.3">
      <c r="A201">
        <v>0.29219000000000001</v>
      </c>
      <c r="B201">
        <v>0.182</v>
      </c>
      <c r="C201">
        <f>(B201-ybar)^2</f>
        <v>4.7692736177777709E-2</v>
      </c>
      <c r="D201">
        <f t="shared" si="3"/>
        <v>1.2141836100000003E-2</v>
      </c>
    </row>
    <row r="202" spans="1:4" x14ac:dyDescent="0.3">
      <c r="A202">
        <v>0.51785999999999999</v>
      </c>
      <c r="B202">
        <v>0.621</v>
      </c>
      <c r="C202">
        <f>(B202-ybar)^2</f>
        <v>4.8670242844444517E-2</v>
      </c>
      <c r="D202">
        <f t="shared" si="3"/>
        <v>1.0637859600000002E-2</v>
      </c>
    </row>
    <row r="203" spans="1:4" x14ac:dyDescent="0.3">
      <c r="A203">
        <v>0.41954000000000002</v>
      </c>
      <c r="B203">
        <v>0.502</v>
      </c>
      <c r="C203">
        <f>(B203-ybar)^2</f>
        <v>1.0325269511111144E-2</v>
      </c>
      <c r="D203">
        <f t="shared" si="3"/>
        <v>6.7996515999999962E-3</v>
      </c>
    </row>
    <row r="204" spans="1:4" x14ac:dyDescent="0.3">
      <c r="A204">
        <v>0.47593000000000002</v>
      </c>
      <c r="B204">
        <v>0.42199999999999999</v>
      </c>
      <c r="C204">
        <f>(B204-ybar)^2</f>
        <v>4.671361777777843E-4</v>
      </c>
      <c r="D204">
        <f t="shared" si="3"/>
        <v>2.9084449000000038E-3</v>
      </c>
    </row>
    <row r="205" spans="1:4" x14ac:dyDescent="0.3">
      <c r="A205">
        <v>0.34966999999999998</v>
      </c>
      <c r="B205">
        <v>0.29399999999999998</v>
      </c>
      <c r="C205">
        <f>(B205-ybar)^2</f>
        <v>1.1318122844444414E-2</v>
      </c>
      <c r="D205">
        <f t="shared" si="3"/>
        <v>3.0991488999999998E-3</v>
      </c>
    </row>
    <row r="206" spans="1:4" x14ac:dyDescent="0.3">
      <c r="A206">
        <v>0.28643000000000002</v>
      </c>
      <c r="B206">
        <v>0.34899999999999998</v>
      </c>
      <c r="C206">
        <f>(B206-ybar)^2</f>
        <v>2.6405895111110966E-3</v>
      </c>
      <c r="D206">
        <f t="shared" si="3"/>
        <v>3.9150048999999952E-3</v>
      </c>
    </row>
    <row r="207" spans="1:4" x14ac:dyDescent="0.3">
      <c r="A207">
        <v>0.31974999999999998</v>
      </c>
      <c r="B207">
        <v>0.30299999999999999</v>
      </c>
      <c r="C207">
        <f>(B207-ybar)^2</f>
        <v>9.4841628444444145E-3</v>
      </c>
      <c r="D207">
        <f t="shared" si="3"/>
        <v>2.8056249999999956E-4</v>
      </c>
    </row>
    <row r="208" spans="1:4" x14ac:dyDescent="0.3">
      <c r="A208">
        <v>0.39623999999999998</v>
      </c>
      <c r="B208">
        <v>0.38300000000000001</v>
      </c>
      <c r="C208">
        <f>(B208-ybar)^2</f>
        <v>3.022961777777718E-4</v>
      </c>
      <c r="D208">
        <f t="shared" si="3"/>
        <v>1.7529759999999932E-4</v>
      </c>
    </row>
    <row r="209" spans="1:4" x14ac:dyDescent="0.3">
      <c r="A209">
        <v>0.38482</v>
      </c>
      <c r="B209">
        <v>0.34300000000000003</v>
      </c>
      <c r="C209">
        <f>(B209-ybar)^2</f>
        <v>3.2932295111110892E-3</v>
      </c>
      <c r="D209">
        <f t="shared" si="3"/>
        <v>1.7489123999999974E-3</v>
      </c>
    </row>
    <row r="210" spans="1:4" x14ac:dyDescent="0.3">
      <c r="A210">
        <v>0.30928</v>
      </c>
      <c r="B210">
        <v>0.224</v>
      </c>
      <c r="C210">
        <f>(B210-ybar)^2</f>
        <v>3.1112256177777717E-2</v>
      </c>
      <c r="D210">
        <f t="shared" si="3"/>
        <v>7.2726783999999987E-3</v>
      </c>
    </row>
    <row r="211" spans="1:4" x14ac:dyDescent="0.3">
      <c r="A211">
        <v>0.52370000000000005</v>
      </c>
      <c r="B211">
        <v>0.41399999999999998</v>
      </c>
      <c r="C211">
        <f>(B211-ybar)^2</f>
        <v>1.8532284444444837E-4</v>
      </c>
      <c r="D211">
        <f t="shared" si="3"/>
        <v>1.2034090000000016E-2</v>
      </c>
    </row>
    <row r="212" spans="1:4" x14ac:dyDescent="0.3">
      <c r="A212">
        <v>0.36520000000000002</v>
      </c>
      <c r="B212">
        <v>0.36799999999999999</v>
      </c>
      <c r="C212">
        <f>(B212-ybar)^2</f>
        <v>1.0488961777777675E-3</v>
      </c>
      <c r="D212">
        <f t="shared" si="3"/>
        <v>7.8399999999998267E-6</v>
      </c>
    </row>
    <row r="213" spans="1:4" x14ac:dyDescent="0.3">
      <c r="A213">
        <v>0.47905999999999999</v>
      </c>
      <c r="B213">
        <v>0.48399999999999999</v>
      </c>
      <c r="C213">
        <f>(B213-ybar)^2</f>
        <v>6.9911895111111361E-3</v>
      </c>
      <c r="D213">
        <f t="shared" si="3"/>
        <v>2.4403599999999998E-5</v>
      </c>
    </row>
    <row r="214" spans="1:4" x14ac:dyDescent="0.3">
      <c r="A214">
        <v>0.38843</v>
      </c>
      <c r="B214">
        <v>0.38200000000000001</v>
      </c>
      <c r="C214">
        <f>(B214-ybar)^2</f>
        <v>3.3806951111110481E-4</v>
      </c>
      <c r="D214">
        <f t="shared" si="3"/>
        <v>4.1344899999999889E-5</v>
      </c>
    </row>
    <row r="215" spans="1:4" x14ac:dyDescent="0.3">
      <c r="A215">
        <v>0.33050000000000002</v>
      </c>
      <c r="B215">
        <v>0.24299999999999999</v>
      </c>
      <c r="C215">
        <f>(B215-ybar)^2</f>
        <v>2.4770562844444396E-2</v>
      </c>
      <c r="D215">
        <f t="shared" si="3"/>
        <v>7.6562500000000042E-3</v>
      </c>
    </row>
    <row r="216" spans="1:4" x14ac:dyDescent="0.3">
      <c r="A216">
        <v>0.34726000000000001</v>
      </c>
      <c r="B216">
        <v>0.38100000000000001</v>
      </c>
      <c r="C216">
        <f>(B216-ybar)^2</f>
        <v>3.7584284444443786E-4</v>
      </c>
      <c r="D216">
        <f t="shared" si="3"/>
        <v>1.1383875999999994E-3</v>
      </c>
    </row>
    <row r="217" spans="1:4" x14ac:dyDescent="0.3">
      <c r="A217">
        <v>0.38966000000000001</v>
      </c>
      <c r="B217">
        <v>0.50700000000000001</v>
      </c>
      <c r="C217">
        <f>(B217-ybar)^2</f>
        <v>1.1366402844444481E-2</v>
      </c>
      <c r="D217">
        <f t="shared" si="3"/>
        <v>1.37686756E-2</v>
      </c>
    </row>
    <row r="218" spans="1:4" x14ac:dyDescent="0.3">
      <c r="A218">
        <v>0.39849000000000001</v>
      </c>
      <c r="B218">
        <v>0.46600000000000003</v>
      </c>
      <c r="C218">
        <f>(B218-ybar)^2</f>
        <v>4.3051095111111357E-3</v>
      </c>
      <c r="D218">
        <f t="shared" si="3"/>
        <v>4.5576001000000015E-3</v>
      </c>
    </row>
    <row r="219" spans="1:4" x14ac:dyDescent="0.3">
      <c r="A219">
        <v>0.36564999999999998</v>
      </c>
      <c r="B219">
        <v>0.441</v>
      </c>
      <c r="C219">
        <f>(B219-ybar)^2</f>
        <v>1.649442844444458E-3</v>
      </c>
      <c r="D219">
        <f t="shared" si="3"/>
        <v>5.6776225000000043E-3</v>
      </c>
    </row>
    <row r="220" spans="1:4" x14ac:dyDescent="0.3">
      <c r="A220">
        <v>0.29909999999999998</v>
      </c>
      <c r="B220">
        <v>0.19500000000000001</v>
      </c>
      <c r="C220">
        <f>(B220-ybar)^2</f>
        <v>4.2183682844444376E-2</v>
      </c>
      <c r="D220">
        <f t="shared" si="3"/>
        <v>1.0836809999999994E-2</v>
      </c>
    </row>
    <row r="221" spans="1:4" x14ac:dyDescent="0.3">
      <c r="A221">
        <v>0.33493000000000001</v>
      </c>
      <c r="B221">
        <v>0.28100000000000003</v>
      </c>
      <c r="C221">
        <f>(B221-ybar)^2</f>
        <v>1.4253176177777731E-2</v>
      </c>
      <c r="D221">
        <f t="shared" si="3"/>
        <v>2.9084448999999978E-3</v>
      </c>
    </row>
    <row r="222" spans="1:4" x14ac:dyDescent="0.3">
      <c r="A222">
        <v>0.46559</v>
      </c>
      <c r="B222">
        <v>0.47499999999999998</v>
      </c>
      <c r="C222">
        <f>(B222-ybar)^2</f>
        <v>5.5671495111111321E-3</v>
      </c>
      <c r="D222">
        <f t="shared" si="3"/>
        <v>8.8548099999999512E-5</v>
      </c>
    </row>
    <row r="223" spans="1:4" x14ac:dyDescent="0.3">
      <c r="A223">
        <v>0.36431000000000002</v>
      </c>
      <c r="B223">
        <v>0.33</v>
      </c>
      <c r="C223">
        <f>(B223-ybar)^2</f>
        <v>4.9542828444444189E-3</v>
      </c>
      <c r="D223">
        <f t="shared" si="3"/>
        <v>1.1771761000000005E-3</v>
      </c>
    </row>
    <row r="224" spans="1:4" x14ac:dyDescent="0.3">
      <c r="A224">
        <v>0.32834000000000002</v>
      </c>
      <c r="B224">
        <v>0.29799999999999999</v>
      </c>
      <c r="C224">
        <f>(B224-ybar)^2</f>
        <v>1.048302951111108E-2</v>
      </c>
      <c r="D224">
        <f t="shared" si="3"/>
        <v>9.2051560000000205E-4</v>
      </c>
    </row>
    <row r="225" spans="1:4" x14ac:dyDescent="0.3">
      <c r="A225">
        <v>0.36020000000000002</v>
      </c>
      <c r="B225">
        <v>0.34200000000000003</v>
      </c>
      <c r="C225">
        <f>(B225-ybar)^2</f>
        <v>3.4090028444444223E-3</v>
      </c>
      <c r="D225">
        <f t="shared" si="3"/>
        <v>3.3123999999999979E-4</v>
      </c>
    </row>
    <row r="226" spans="1:4" x14ac:dyDescent="0.3">
      <c r="A226">
        <v>0.39079000000000003</v>
      </c>
      <c r="B226">
        <v>0.46200000000000002</v>
      </c>
      <c r="C226">
        <f>(B226-ybar)^2</f>
        <v>3.7962028444444673E-3</v>
      </c>
      <c r="D226">
        <f t="shared" si="3"/>
        <v>5.0708640999999992E-3</v>
      </c>
    </row>
    <row r="227" spans="1:4" x14ac:dyDescent="0.3">
      <c r="A227">
        <v>0.30789</v>
      </c>
      <c r="B227">
        <v>0.28599999999999998</v>
      </c>
      <c r="C227">
        <f>(B227-ybar)^2</f>
        <v>1.3084309511111079E-2</v>
      </c>
      <c r="D227">
        <f t="shared" si="3"/>
        <v>4.7917210000000089E-4</v>
      </c>
    </row>
    <row r="228" spans="1:4" x14ac:dyDescent="0.3">
      <c r="A228">
        <v>0.38373000000000002</v>
      </c>
      <c r="B228">
        <v>0.39400000000000002</v>
      </c>
      <c r="C228">
        <f>(B228-ybar)^2</f>
        <v>4.0789511111108791E-5</v>
      </c>
      <c r="D228">
        <f t="shared" si="3"/>
        <v>1.0547290000000003E-4</v>
      </c>
    </row>
    <row r="229" spans="1:4" x14ac:dyDescent="0.3">
      <c r="A229">
        <v>0.34499999999999997</v>
      </c>
      <c r="B229">
        <v>0.28999999999999998</v>
      </c>
      <c r="C229">
        <f>(B229-ybar)^2</f>
        <v>1.2185216177777746E-2</v>
      </c>
      <c r="D229">
        <f t="shared" si="3"/>
        <v>3.0249999999999995E-3</v>
      </c>
    </row>
    <row r="230" spans="1:4" x14ac:dyDescent="0.3">
      <c r="A230">
        <v>0.31194</v>
      </c>
      <c r="B230">
        <v>0.32100000000000001</v>
      </c>
      <c r="C230">
        <f>(B230-ybar)^2</f>
        <v>6.3022428444444167E-3</v>
      </c>
      <c r="D230">
        <f t="shared" si="3"/>
        <v>8.2083600000000225E-5</v>
      </c>
    </row>
    <row r="231" spans="1:4" x14ac:dyDescent="0.3">
      <c r="A231">
        <v>0.50941000000000003</v>
      </c>
      <c r="B231">
        <v>0.48399999999999999</v>
      </c>
      <c r="C231">
        <f>(B231-ybar)^2</f>
        <v>6.9911895111111361E-3</v>
      </c>
      <c r="D231">
        <f t="shared" si="3"/>
        <v>6.4566810000000227E-4</v>
      </c>
    </row>
    <row r="232" spans="1:4" x14ac:dyDescent="0.3">
      <c r="A232">
        <v>0.34293000000000001</v>
      </c>
      <c r="B232">
        <v>0.245</v>
      </c>
      <c r="C232">
        <f>(B232-ybar)^2</f>
        <v>2.4145016177777728E-2</v>
      </c>
      <c r="D232">
        <f t="shared" si="3"/>
        <v>9.5902849000000026E-3</v>
      </c>
    </row>
    <row r="233" spans="1:4" x14ac:dyDescent="0.3">
      <c r="A233">
        <v>0.31912000000000001</v>
      </c>
      <c r="B233">
        <v>0.34499999999999997</v>
      </c>
      <c r="C233">
        <f>(B233-ybar)^2</f>
        <v>3.0676828444444293E-3</v>
      </c>
      <c r="D233">
        <f t="shared" si="3"/>
        <v>6.697743999999979E-4</v>
      </c>
    </row>
    <row r="234" spans="1:4" x14ac:dyDescent="0.3">
      <c r="A234">
        <v>0.55212000000000006</v>
      </c>
      <c r="B234">
        <v>0.59499999999999997</v>
      </c>
      <c r="C234">
        <f>(B234-ybar)^2</f>
        <v>3.7874349511111162E-2</v>
      </c>
      <c r="D234">
        <f t="shared" si="3"/>
        <v>1.8386943999999931E-3</v>
      </c>
    </row>
    <row r="235" spans="1:4" x14ac:dyDescent="0.3">
      <c r="A235">
        <v>0.45505000000000001</v>
      </c>
      <c r="B235">
        <v>0.35799999999999998</v>
      </c>
      <c r="C235">
        <f>(B235-ybar)^2</f>
        <v>1.7966295111110984E-3</v>
      </c>
      <c r="D235">
        <f t="shared" si="3"/>
        <v>9.4187025000000042E-3</v>
      </c>
    </row>
    <row r="236" spans="1:4" x14ac:dyDescent="0.3">
      <c r="A236">
        <v>0.41277999999999998</v>
      </c>
      <c r="B236">
        <v>0.372</v>
      </c>
      <c r="C236">
        <f>(B236-ybar)^2</f>
        <v>8.0580284444443527E-4</v>
      </c>
      <c r="D236">
        <f t="shared" si="3"/>
        <v>1.6630083999999985E-3</v>
      </c>
    </row>
    <row r="237" spans="1:4" x14ac:dyDescent="0.3">
      <c r="A237">
        <v>0.34636</v>
      </c>
      <c r="B237">
        <v>0.36399999999999999</v>
      </c>
      <c r="C237">
        <f>(B237-ybar)^2</f>
        <v>1.3239895111110999E-3</v>
      </c>
      <c r="D237">
        <f t="shared" si="3"/>
        <v>3.1116959999999964E-4</v>
      </c>
    </row>
    <row r="238" spans="1:4" x14ac:dyDescent="0.3">
      <c r="A238">
        <v>0.43545</v>
      </c>
      <c r="B238">
        <v>0.48399999999999999</v>
      </c>
      <c r="C238">
        <f>(B238-ybar)^2</f>
        <v>6.9911895111111361E-3</v>
      </c>
      <c r="D238">
        <f t="shared" si="3"/>
        <v>2.3571024999999982E-3</v>
      </c>
    </row>
    <row r="239" spans="1:4" x14ac:dyDescent="0.3">
      <c r="A239">
        <v>0.55013000000000001</v>
      </c>
      <c r="B239">
        <v>0.53500000000000003</v>
      </c>
      <c r="C239">
        <f>(B239-ybar)^2</f>
        <v>1.8120749511111162E-2</v>
      </c>
      <c r="D239">
        <f t="shared" si="3"/>
        <v>2.2891689999999929E-4</v>
      </c>
    </row>
    <row r="240" spans="1:4" x14ac:dyDescent="0.3">
      <c r="A240">
        <v>0.31379000000000001</v>
      </c>
      <c r="B240">
        <v>0.26100000000000001</v>
      </c>
      <c r="C240">
        <f>(B240-ybar)^2</f>
        <v>1.9428642844444396E-2</v>
      </c>
      <c r="D240">
        <f t="shared" si="3"/>
        <v>2.7867841000000005E-3</v>
      </c>
    </row>
    <row r="241" spans="1:4" x14ac:dyDescent="0.3">
      <c r="A241">
        <v>0.41011999999999998</v>
      </c>
      <c r="B241">
        <v>0.253</v>
      </c>
      <c r="C241">
        <f>(B241-ybar)^2</f>
        <v>2.1722829511111062E-2</v>
      </c>
      <c r="D241">
        <f t="shared" si="3"/>
        <v>2.4686694399999994E-2</v>
      </c>
    </row>
    <row r="242" spans="1:4" x14ac:dyDescent="0.3">
      <c r="A242">
        <v>0.42442999999999997</v>
      </c>
      <c r="B242">
        <v>0.41699999999999998</v>
      </c>
      <c r="C242">
        <f>(B242-ybar)^2</f>
        <v>2.7600284444444933E-4</v>
      </c>
      <c r="D242">
        <f t="shared" si="3"/>
        <v>5.5204899999999882E-5</v>
      </c>
    </row>
    <row r="243" spans="1:4" x14ac:dyDescent="0.3">
      <c r="A243">
        <v>0.56523000000000001</v>
      </c>
      <c r="B243">
        <v>0.66900000000000004</v>
      </c>
      <c r="C243">
        <f>(B243-ybar)^2</f>
        <v>7.2153122844444556E-2</v>
      </c>
      <c r="D243">
        <f t="shared" si="3"/>
        <v>1.0768212900000006E-2</v>
      </c>
    </row>
    <row r="244" spans="1:4" x14ac:dyDescent="0.3">
      <c r="A244">
        <v>0.35921999999999998</v>
      </c>
      <c r="B244">
        <v>0.36</v>
      </c>
      <c r="C244">
        <f>(B244-ybar)^2</f>
        <v>1.6310828444444322E-3</v>
      </c>
      <c r="D244">
        <f t="shared" si="3"/>
        <v>6.0840000000000452E-7</v>
      </c>
    </row>
    <row r="245" spans="1:4" x14ac:dyDescent="0.3">
      <c r="A245">
        <v>0.25551000000000001</v>
      </c>
      <c r="B245">
        <v>0.245</v>
      </c>
      <c r="C245">
        <f>(B245-ybar)^2</f>
        <v>2.4145016177777728E-2</v>
      </c>
      <c r="D245">
        <f t="shared" si="3"/>
        <v>1.1046010000000041E-4</v>
      </c>
    </row>
    <row r="246" spans="1:4" x14ac:dyDescent="0.3">
      <c r="A246">
        <v>0.42248000000000002</v>
      </c>
      <c r="B246">
        <v>0.35</v>
      </c>
      <c r="C246">
        <f>(B246-ybar)^2</f>
        <v>2.5388161777777636E-3</v>
      </c>
      <c r="D246">
        <f t="shared" si="3"/>
        <v>5.2533504000000066E-3</v>
      </c>
    </row>
    <row r="247" spans="1:4" x14ac:dyDescent="0.3">
      <c r="A247">
        <v>0.41021000000000002</v>
      </c>
      <c r="B247">
        <v>0.52400000000000002</v>
      </c>
      <c r="C247">
        <f>(B247-ybar)^2</f>
        <v>1.5280256177777824E-2</v>
      </c>
      <c r="D247">
        <f t="shared" si="3"/>
        <v>1.2948164100000001E-2</v>
      </c>
    </row>
    <row r="248" spans="1:4" x14ac:dyDescent="0.3">
      <c r="A248">
        <v>0.38734000000000002</v>
      </c>
      <c r="B248">
        <v>0.52200000000000002</v>
      </c>
      <c r="C248">
        <f>(B248-ybar)^2</f>
        <v>1.4789802844444489E-2</v>
      </c>
      <c r="D248">
        <f t="shared" si="3"/>
        <v>1.8133315600000002E-2</v>
      </c>
    </row>
    <row r="249" spans="1:4" x14ac:dyDescent="0.3">
      <c r="A249">
        <v>0.28148000000000001</v>
      </c>
      <c r="B249">
        <v>0.11700000000000001</v>
      </c>
      <c r="C249">
        <f>(B249-ybar)^2</f>
        <v>8.0308002844444351E-2</v>
      </c>
      <c r="D249">
        <f t="shared" si="3"/>
        <v>2.7053670400000004E-2</v>
      </c>
    </row>
    <row r="250" spans="1:4" x14ac:dyDescent="0.3">
      <c r="A250">
        <v>0.29265000000000002</v>
      </c>
      <c r="B250">
        <v>0.371</v>
      </c>
      <c r="C250">
        <f>(B250-ybar)^2</f>
        <v>8.6357617777776832E-4</v>
      </c>
      <c r="D250">
        <f t="shared" si="3"/>
        <v>6.1387224999999964E-3</v>
      </c>
    </row>
    <row r="251" spans="1:4" x14ac:dyDescent="0.3">
      <c r="A251">
        <v>0.49923000000000001</v>
      </c>
      <c r="B251">
        <v>0.59199999999999997</v>
      </c>
      <c r="C251">
        <f>(B251-ybar)^2</f>
        <v>3.671566951111116E-2</v>
      </c>
      <c r="D251">
        <f t="shared" si="3"/>
        <v>8.6062728999999928E-3</v>
      </c>
    </row>
    <row r="252" spans="1:4" x14ac:dyDescent="0.3">
      <c r="A252">
        <v>0.26051000000000002</v>
      </c>
      <c r="B252">
        <v>0.20200000000000001</v>
      </c>
      <c r="C252">
        <f>(B252-ybar)^2</f>
        <v>3.9357269511111043E-2</v>
      </c>
      <c r="D252">
        <f t="shared" si="3"/>
        <v>3.4234201000000008E-3</v>
      </c>
    </row>
    <row r="253" spans="1:4" x14ac:dyDescent="0.3">
      <c r="A253">
        <v>0.32094</v>
      </c>
      <c r="B253">
        <v>0.36199999999999999</v>
      </c>
      <c r="C253">
        <f>(B253-ybar)^2</f>
        <v>1.4735361777777659E-3</v>
      </c>
      <c r="D253">
        <f t="shared" si="3"/>
        <v>1.6859235999999989E-3</v>
      </c>
    </row>
    <row r="254" spans="1:4" x14ac:dyDescent="0.3">
      <c r="A254">
        <v>0.50699000000000005</v>
      </c>
      <c r="B254">
        <v>0.53200000000000003</v>
      </c>
      <c r="C254">
        <f>(B254-ybar)^2</f>
        <v>1.7322069511111163E-2</v>
      </c>
      <c r="D254">
        <f t="shared" si="3"/>
        <v>6.2550009999999881E-4</v>
      </c>
    </row>
    <row r="255" spans="1:4" x14ac:dyDescent="0.3">
      <c r="A255">
        <v>0.36906</v>
      </c>
      <c r="B255">
        <v>0.40699999999999997</v>
      </c>
      <c r="C255">
        <f>(B255-ybar)^2</f>
        <v>4.3736177777779595E-5</v>
      </c>
      <c r="D255">
        <f t="shared" si="3"/>
        <v>1.4394435999999979E-3</v>
      </c>
    </row>
    <row r="256" spans="1:4" x14ac:dyDescent="0.3">
      <c r="A256">
        <v>0.32550000000000001</v>
      </c>
      <c r="B256">
        <v>0.33900000000000002</v>
      </c>
      <c r="C256">
        <f>(B256-ybar)^2</f>
        <v>3.7683228444444212E-3</v>
      </c>
      <c r="D256">
        <f t="shared" si="3"/>
        <v>1.8225000000000034E-4</v>
      </c>
    </row>
    <row r="257" spans="1:4" x14ac:dyDescent="0.3">
      <c r="A257">
        <v>0.48681999999999997</v>
      </c>
      <c r="B257">
        <v>0.55500000000000005</v>
      </c>
      <c r="C257">
        <f>(B257-ybar)^2</f>
        <v>2.3905282844444511E-2</v>
      </c>
      <c r="D257">
        <f t="shared" si="3"/>
        <v>4.6485124000000102E-3</v>
      </c>
    </row>
    <row r="258" spans="1:4" x14ac:dyDescent="0.3">
      <c r="A258">
        <v>0.27715000000000001</v>
      </c>
      <c r="B258">
        <v>0.28599999999999998</v>
      </c>
      <c r="C258">
        <f>(B258-ybar)^2</f>
        <v>1.3084309511111079E-2</v>
      </c>
      <c r="D258">
        <f t="shared" si="3"/>
        <v>7.8322499999999452E-5</v>
      </c>
    </row>
    <row r="259" spans="1:4" x14ac:dyDescent="0.3">
      <c r="A259">
        <v>0.54347000000000001</v>
      </c>
      <c r="B259">
        <v>0.67200000000000004</v>
      </c>
      <c r="C259">
        <f>(B259-ybar)^2</f>
        <v>7.3773802844444555E-2</v>
      </c>
      <c r="D259">
        <f t="shared" ref="D259:D301" si="4">(B259-A259)^2</f>
        <v>1.6519960900000009E-2</v>
      </c>
    </row>
    <row r="260" spans="1:4" x14ac:dyDescent="0.3">
      <c r="A260">
        <v>0.53373000000000004</v>
      </c>
      <c r="B260">
        <v>0.48499999999999999</v>
      </c>
      <c r="C260">
        <f>(B260-ybar)^2</f>
        <v>7.1594161777778038E-3</v>
      </c>
      <c r="D260">
        <f t="shared" si="4"/>
        <v>2.374612900000005E-3</v>
      </c>
    </row>
    <row r="261" spans="1:4" x14ac:dyDescent="0.3">
      <c r="A261">
        <v>0.29221000000000003</v>
      </c>
      <c r="B261">
        <v>0.36899999999999999</v>
      </c>
      <c r="C261">
        <f>(B261-ybar)^2</f>
        <v>9.8512284444443447E-4</v>
      </c>
      <c r="D261">
        <f t="shared" si="4"/>
        <v>5.8967040999999953E-3</v>
      </c>
    </row>
    <row r="262" spans="1:4" x14ac:dyDescent="0.3">
      <c r="A262">
        <v>0.35366999999999998</v>
      </c>
      <c r="B262">
        <v>0.24299999999999999</v>
      </c>
      <c r="C262">
        <f>(B262-ybar)^2</f>
        <v>2.4770562844444396E-2</v>
      </c>
      <c r="D262">
        <f t="shared" si="4"/>
        <v>1.2247848899999999E-2</v>
      </c>
    </row>
    <row r="263" spans="1:4" x14ac:dyDescent="0.3">
      <c r="A263">
        <v>0.34339999999999998</v>
      </c>
      <c r="B263">
        <v>0.313</v>
      </c>
      <c r="C263">
        <f>(B263-ybar)^2</f>
        <v>7.6364295111110824E-3</v>
      </c>
      <c r="D263">
        <f t="shared" si="4"/>
        <v>9.2415999999999896E-4</v>
      </c>
    </row>
    <row r="264" spans="1:4" x14ac:dyDescent="0.3">
      <c r="A264">
        <v>0.42677999999999999</v>
      </c>
      <c r="B264">
        <v>0.26900000000000002</v>
      </c>
      <c r="C264">
        <f>(B264-ybar)^2</f>
        <v>1.7262456177777729E-2</v>
      </c>
      <c r="D264">
        <f t="shared" si="4"/>
        <v>2.4894528399999994E-2</v>
      </c>
    </row>
    <row r="265" spans="1:4" x14ac:dyDescent="0.3">
      <c r="A265">
        <v>0.38556000000000001</v>
      </c>
      <c r="B265">
        <v>0.38500000000000001</v>
      </c>
      <c r="C265">
        <f>(B265-ybar)^2</f>
        <v>2.3674951111110577E-4</v>
      </c>
      <c r="D265">
        <f t="shared" si="4"/>
        <v>3.1360000000000551E-7</v>
      </c>
    </row>
    <row r="266" spans="1:4" x14ac:dyDescent="0.3">
      <c r="A266">
        <v>0.42937999999999998</v>
      </c>
      <c r="B266">
        <v>0.47699999999999998</v>
      </c>
      <c r="C266">
        <f>(B266-ybar)^2</f>
        <v>5.8696028444444664E-3</v>
      </c>
      <c r="D266">
        <f t="shared" si="4"/>
        <v>2.2676643999999997E-3</v>
      </c>
    </row>
    <row r="267" spans="1:4" x14ac:dyDescent="0.3">
      <c r="A267">
        <v>0.38684000000000002</v>
      </c>
      <c r="B267">
        <v>0.45900000000000002</v>
      </c>
      <c r="C267">
        <f>(B267-ybar)^2</f>
        <v>3.4355228444444661E-3</v>
      </c>
      <c r="D267">
        <f t="shared" si="4"/>
        <v>5.2070656000000005E-3</v>
      </c>
    </row>
    <row r="268" spans="1:4" x14ac:dyDescent="0.3">
      <c r="A268">
        <v>0.37474000000000002</v>
      </c>
      <c r="B268">
        <v>0.47499999999999998</v>
      </c>
      <c r="C268">
        <f>(B268-ybar)^2</f>
        <v>5.5671495111111321E-3</v>
      </c>
      <c r="D268">
        <f t="shared" si="4"/>
        <v>1.0052067599999992E-2</v>
      </c>
    </row>
    <row r="269" spans="1:4" x14ac:dyDescent="0.3">
      <c r="A269">
        <v>0.43933</v>
      </c>
      <c r="B269">
        <v>0.248</v>
      </c>
      <c r="C269">
        <f>(B269-ybar)^2</f>
        <v>2.3221696177777727E-2</v>
      </c>
      <c r="D269">
        <f t="shared" si="4"/>
        <v>3.6607168900000001E-2</v>
      </c>
    </row>
    <row r="270" spans="1:4" x14ac:dyDescent="0.3">
      <c r="A270">
        <v>0.35757</v>
      </c>
      <c r="B270">
        <v>0.30199999999999999</v>
      </c>
      <c r="C270">
        <f>(B270-ybar)^2</f>
        <v>9.6799361777777475E-3</v>
      </c>
      <c r="D270">
        <f t="shared" si="4"/>
        <v>3.0880249000000007E-3</v>
      </c>
    </row>
    <row r="271" spans="1:4" x14ac:dyDescent="0.3">
      <c r="A271">
        <v>0.26938000000000001</v>
      </c>
      <c r="B271">
        <v>0.21199999999999999</v>
      </c>
      <c r="C271">
        <f>(B271-ybar)^2</f>
        <v>3.5489536177777718E-2</v>
      </c>
      <c r="D271">
        <f t="shared" si="4"/>
        <v>3.2924644000000016E-3</v>
      </c>
    </row>
    <row r="272" spans="1:4" x14ac:dyDescent="0.3">
      <c r="A272">
        <v>0.45456999999999997</v>
      </c>
      <c r="B272">
        <v>0.45</v>
      </c>
      <c r="C272">
        <f>(B272-ybar)^2</f>
        <v>2.4614828444444619E-3</v>
      </c>
      <c r="D272">
        <f t="shared" si="4"/>
        <v>2.0884899999999662E-5</v>
      </c>
    </row>
    <row r="273" spans="1:4" x14ac:dyDescent="0.3">
      <c r="A273">
        <v>0.44119000000000003</v>
      </c>
      <c r="B273">
        <v>0.503</v>
      </c>
      <c r="C273">
        <f>(B273-ybar)^2</f>
        <v>1.0529496177777813E-2</v>
      </c>
      <c r="D273">
        <f t="shared" si="4"/>
        <v>3.8204760999999972E-3</v>
      </c>
    </row>
    <row r="274" spans="1:4" x14ac:dyDescent="0.3">
      <c r="A274">
        <v>0.54101999999999995</v>
      </c>
      <c r="B274">
        <v>0.53700000000000003</v>
      </c>
      <c r="C274">
        <f>(B274-ybar)^2</f>
        <v>1.8663202844444497E-2</v>
      </c>
      <c r="D274">
        <f t="shared" si="4"/>
        <v>1.6160399999999297E-5</v>
      </c>
    </row>
    <row r="275" spans="1:4" x14ac:dyDescent="0.3">
      <c r="A275">
        <v>0.34967999999999999</v>
      </c>
      <c r="B275">
        <v>0.41399999999999998</v>
      </c>
      <c r="C275">
        <f>(B275-ybar)^2</f>
        <v>1.8532284444444837E-4</v>
      </c>
      <c r="D275">
        <f t="shared" si="4"/>
        <v>4.1370623999999988E-3</v>
      </c>
    </row>
    <row r="276" spans="1:4" x14ac:dyDescent="0.3">
      <c r="A276">
        <v>0.36541000000000001</v>
      </c>
      <c r="B276">
        <v>0.33700000000000002</v>
      </c>
      <c r="C276">
        <f>(B276-ybar)^2</f>
        <v>4.0178695111110878E-3</v>
      </c>
      <c r="D276">
        <f t="shared" si="4"/>
        <v>8.0712809999999944E-4</v>
      </c>
    </row>
    <row r="277" spans="1:4" x14ac:dyDescent="0.3">
      <c r="A277">
        <v>0.61702999999999997</v>
      </c>
      <c r="B277">
        <v>0.621</v>
      </c>
      <c r="C277">
        <f>(B277-ybar)^2</f>
        <v>4.8670242844444517E-2</v>
      </c>
      <c r="D277">
        <f t="shared" si="4"/>
        <v>1.5760900000000231E-5</v>
      </c>
    </row>
    <row r="278" spans="1:4" x14ac:dyDescent="0.3">
      <c r="A278">
        <v>0.44575999999999999</v>
      </c>
      <c r="B278">
        <v>0.46800000000000003</v>
      </c>
      <c r="C278">
        <f>(B278-ybar)^2</f>
        <v>4.5715628444444704E-3</v>
      </c>
      <c r="D278">
        <f t="shared" si="4"/>
        <v>4.9461760000000165E-4</v>
      </c>
    </row>
    <row r="279" spans="1:4" x14ac:dyDescent="0.3">
      <c r="A279">
        <v>0.49016999999999999</v>
      </c>
      <c r="B279">
        <v>0.60299999999999998</v>
      </c>
      <c r="C279">
        <f>(B279-ybar)^2</f>
        <v>4.1052162844444504E-2</v>
      </c>
      <c r="D279">
        <f t="shared" si="4"/>
        <v>1.2730608899999997E-2</v>
      </c>
    </row>
    <row r="280" spans="1:4" x14ac:dyDescent="0.3">
      <c r="A280">
        <v>0.22516</v>
      </c>
      <c r="B280">
        <v>0.219</v>
      </c>
      <c r="C280">
        <f>(B280-ybar)^2</f>
        <v>3.2901122844444387E-2</v>
      </c>
      <c r="D280">
        <f t="shared" si="4"/>
        <v>3.7945599999999984E-5</v>
      </c>
    </row>
    <row r="281" spans="1:4" x14ac:dyDescent="0.3">
      <c r="A281">
        <v>0.40272000000000002</v>
      </c>
      <c r="B281">
        <v>0.44500000000000001</v>
      </c>
      <c r="C281">
        <f>(B281-ybar)^2</f>
        <v>1.9903495111111263E-3</v>
      </c>
      <c r="D281">
        <f t="shared" si="4"/>
        <v>1.7875983999999987E-3</v>
      </c>
    </row>
    <row r="282" spans="1:4" x14ac:dyDescent="0.3">
      <c r="A282">
        <v>0.40472999999999998</v>
      </c>
      <c r="B282">
        <v>0.36399999999999999</v>
      </c>
      <c r="C282">
        <f>(B282-ybar)^2</f>
        <v>1.3239895111110999E-3</v>
      </c>
      <c r="D282">
        <f t="shared" si="4"/>
        <v>1.6589328999999991E-3</v>
      </c>
    </row>
    <row r="283" spans="1:4" x14ac:dyDescent="0.3">
      <c r="A283">
        <v>0.47983999999999999</v>
      </c>
      <c r="B283">
        <v>0.58399999999999996</v>
      </c>
      <c r="C283">
        <f>(B283-ybar)^2</f>
        <v>3.3713856177777828E-2</v>
      </c>
      <c r="D283">
        <f t="shared" si="4"/>
        <v>1.0849305599999994E-2</v>
      </c>
    </row>
    <row r="284" spans="1:4" x14ac:dyDescent="0.3">
      <c r="A284">
        <v>0.59521999999999997</v>
      </c>
      <c r="B284">
        <v>0.64600000000000002</v>
      </c>
      <c r="C284">
        <f>(B284-ybar)^2</f>
        <v>6.0325909511111199E-2</v>
      </c>
      <c r="D284">
        <f t="shared" si="4"/>
        <v>2.5786084000000049E-3</v>
      </c>
    </row>
    <row r="285" spans="1:4" x14ac:dyDescent="0.3">
      <c r="A285">
        <v>0.34240999999999999</v>
      </c>
      <c r="B285">
        <v>0.158</v>
      </c>
      <c r="C285">
        <f>(B285-ybar)^2</f>
        <v>5.8751296177777697E-2</v>
      </c>
      <c r="D285">
        <f t="shared" si="4"/>
        <v>3.4007048099999999E-2</v>
      </c>
    </row>
    <row r="286" spans="1:4" x14ac:dyDescent="0.3">
      <c r="A286">
        <v>0.35266999999999998</v>
      </c>
      <c r="B286">
        <v>0.40400000000000003</v>
      </c>
      <c r="C286">
        <f>(B286-ybar)^2</f>
        <v>1.3056177777779155E-5</v>
      </c>
      <c r="D286">
        <f t="shared" si="4"/>
        <v>2.6347689000000042E-3</v>
      </c>
    </row>
    <row r="287" spans="1:4" x14ac:dyDescent="0.3">
      <c r="A287">
        <v>0.64741000000000004</v>
      </c>
      <c r="B287">
        <v>0.66900000000000004</v>
      </c>
      <c r="C287">
        <f>(B287-ybar)^2</f>
        <v>7.2153122844444556E-2</v>
      </c>
      <c r="D287">
        <f t="shared" si="4"/>
        <v>4.6612809999999993E-4</v>
      </c>
    </row>
    <row r="288" spans="1:4" x14ac:dyDescent="0.3">
      <c r="A288">
        <v>0.47688999999999998</v>
      </c>
      <c r="B288">
        <v>0.59099999999999997</v>
      </c>
      <c r="C288">
        <f>(B288-ybar)^2</f>
        <v>3.6333442844444494E-2</v>
      </c>
      <c r="D288">
        <f t="shared" si="4"/>
        <v>1.3021092099999998E-2</v>
      </c>
    </row>
    <row r="289" spans="1:4" x14ac:dyDescent="0.3">
      <c r="A289">
        <v>0.33008999999999999</v>
      </c>
      <c r="B289">
        <v>0.34100000000000003</v>
      </c>
      <c r="C289">
        <f>(B289-ybar)^2</f>
        <v>3.5267761777777553E-3</v>
      </c>
      <c r="D289">
        <f t="shared" si="4"/>
        <v>1.1902810000000067E-4</v>
      </c>
    </row>
    <row r="290" spans="1:4" x14ac:dyDescent="0.3">
      <c r="A290">
        <v>0.50261999999999996</v>
      </c>
      <c r="B290">
        <v>0.49</v>
      </c>
      <c r="C290">
        <f>(B290-ybar)^2</f>
        <v>8.0305495111111392E-3</v>
      </c>
      <c r="D290">
        <f t="shared" si="4"/>
        <v>1.592643999999991E-4</v>
      </c>
    </row>
    <row r="291" spans="1:4" x14ac:dyDescent="0.3">
      <c r="A291">
        <v>0.4486</v>
      </c>
      <c r="B291">
        <v>0.48199999999999998</v>
      </c>
      <c r="C291">
        <f>(B291-ybar)^2</f>
        <v>6.6607361777778025E-3</v>
      </c>
      <c r="D291">
        <f t="shared" si="4"/>
        <v>1.1155599999999989E-3</v>
      </c>
    </row>
    <row r="292" spans="1:4" x14ac:dyDescent="0.3">
      <c r="A292">
        <v>0.44056000000000001</v>
      </c>
      <c r="B292">
        <v>0.47599999999999998</v>
      </c>
      <c r="C292">
        <f>(B292-ybar)^2</f>
        <v>5.7173761777777991E-3</v>
      </c>
      <c r="D292">
        <f t="shared" si="4"/>
        <v>1.255993599999998E-3</v>
      </c>
    </row>
    <row r="293" spans="1:4" x14ac:dyDescent="0.3">
      <c r="A293">
        <v>0.52073999999999998</v>
      </c>
      <c r="B293">
        <v>0.55500000000000005</v>
      </c>
      <c r="C293">
        <f>(B293-ybar)^2</f>
        <v>2.3905282844444511E-2</v>
      </c>
      <c r="D293">
        <f t="shared" si="4"/>
        <v>1.1737476000000047E-3</v>
      </c>
    </row>
    <row r="294" spans="1:4" x14ac:dyDescent="0.3">
      <c r="A294">
        <v>0.41086</v>
      </c>
      <c r="B294">
        <v>0.47299999999999998</v>
      </c>
      <c r="C294">
        <f>(B294-ybar)^2</f>
        <v>5.272696177777798E-3</v>
      </c>
      <c r="D294">
        <f t="shared" si="4"/>
        <v>3.8613795999999966E-3</v>
      </c>
    </row>
    <row r="295" spans="1:4" x14ac:dyDescent="0.3">
      <c r="A295">
        <v>0.38940999999999998</v>
      </c>
      <c r="B295">
        <v>0.47099999999999997</v>
      </c>
      <c r="C295">
        <f>(B295-ybar)^2</f>
        <v>4.9862428444444641E-3</v>
      </c>
      <c r="D295">
        <f t="shared" si="4"/>
        <v>6.6569280999999991E-3</v>
      </c>
    </row>
    <row r="296" spans="1:4" x14ac:dyDescent="0.3">
      <c r="A296">
        <v>0.33315</v>
      </c>
      <c r="B296">
        <v>0.28199999999999997</v>
      </c>
      <c r="C296">
        <f>(B296-ybar)^2</f>
        <v>1.4015402844444412E-2</v>
      </c>
      <c r="D296">
        <f t="shared" si="4"/>
        <v>2.6163225000000031E-3</v>
      </c>
    </row>
    <row r="297" spans="1:4" x14ac:dyDescent="0.3">
      <c r="A297">
        <v>0.34999000000000002</v>
      </c>
      <c r="B297">
        <v>0.5</v>
      </c>
      <c r="C297">
        <f>(B297-ybar)^2</f>
        <v>9.9228161777778108E-3</v>
      </c>
      <c r="D297">
        <f t="shared" si="4"/>
        <v>2.2503000099999993E-2</v>
      </c>
    </row>
    <row r="298" spans="1:4" x14ac:dyDescent="0.3">
      <c r="A298">
        <v>0.53147999999999995</v>
      </c>
      <c r="B298">
        <v>0.47299999999999998</v>
      </c>
      <c r="C298">
        <f>(B298-ybar)^2</f>
        <v>5.272696177777798E-3</v>
      </c>
      <c r="D298">
        <f t="shared" si="4"/>
        <v>3.4199103999999971E-3</v>
      </c>
    </row>
    <row r="299" spans="1:4" x14ac:dyDescent="0.3">
      <c r="A299">
        <v>0.42227999999999999</v>
      </c>
      <c r="B299">
        <v>0.39500000000000002</v>
      </c>
      <c r="C299">
        <f>(B299-ybar)^2</f>
        <v>2.9016177777775812E-5</v>
      </c>
      <c r="D299">
        <f t="shared" si="4"/>
        <v>7.4419839999999846E-4</v>
      </c>
    </row>
    <row r="300" spans="1:4" x14ac:dyDescent="0.3">
      <c r="A300">
        <v>0.40050000000000002</v>
      </c>
      <c r="B300">
        <v>0.26500000000000001</v>
      </c>
      <c r="C300">
        <f>(B300-ybar)^2</f>
        <v>1.8329549511111064E-2</v>
      </c>
      <c r="D300">
        <f t="shared" si="4"/>
        <v>1.8360250000000002E-2</v>
      </c>
    </row>
    <row r="301" spans="1:4" x14ac:dyDescent="0.3">
      <c r="A301">
        <v>0.50685000000000002</v>
      </c>
      <c r="B301">
        <v>0.51900000000000002</v>
      </c>
      <c r="C301">
        <f>(B301-ybar)^2</f>
        <v>1.4069122844444488E-2</v>
      </c>
      <c r="D301">
        <f t="shared" si="4"/>
        <v>1.4762249999999985E-4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Sheet1</vt:lpstr>
      <vt:lpstr>ybar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Malene Cramer Engebjerg</cp:lastModifiedBy>
  <dcterms:created xsi:type="dcterms:W3CDTF">2026-06-05T06:36:35Z</dcterms:created>
  <dcterms:modified xsi:type="dcterms:W3CDTF">2026-06-05T06:50:09Z</dcterms:modified>
</cp:coreProperties>
</file>