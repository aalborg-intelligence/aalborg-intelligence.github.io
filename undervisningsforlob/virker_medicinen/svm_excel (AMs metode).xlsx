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er\Documents\GitHub\aalborg-intelligence.github.io\undervisningsforlob\virker_medicinen\"/>
    </mc:Choice>
  </mc:AlternateContent>
  <xr:revisionPtr revIDLastSave="0" documentId="13_ncr:1_{69DBE8BB-F03B-4FE3-826C-161916188434}" xr6:coauthVersionLast="47" xr6:coauthVersionMax="47" xr10:uidLastSave="{00000000-0000-0000-0000-000000000000}"/>
  <bookViews>
    <workbookView xWindow="830" yWindow="2030" windowWidth="16720" windowHeight="9970" xr2:uid="{954B3886-323B-4922-A0CE-9BF915E070C4}"/>
  </bookViews>
  <sheets>
    <sheet name="Ark1" sheetId="1" r:id="rId1"/>
  </sheets>
  <definedNames>
    <definedName name="solver_adj" localSheetId="0" hidden="1">'Ark1'!$H$5:$H$8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'Ark1'!$E$5:$E$10</definedName>
    <definedName name="solver_lhs2" localSheetId="0" hidden="1">'Ark1'!$H$10</definedName>
    <definedName name="solver_lhs3" localSheetId="0" hidden="1">'Ark1'!$H$8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'Ark1'!$H$12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el3" localSheetId="0" hidden="1">3</definedName>
    <definedName name="solver_rhs1" localSheetId="0" hidden="1">'Ark1'!$H$8</definedName>
    <definedName name="solver_rhs2" localSheetId="0" hidden="1">1</definedName>
    <definedName name="solver_rhs3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1" l="1" a="1"/>
  <c r="J5" i="1" s="1"/>
  <c r="E5" i="1" a="1"/>
  <c r="E5" i="1" s="1"/>
  <c r="H10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<sst xmlns="http://schemas.openxmlformats.org/spreadsheetml/2006/main" count="12" uniqueCount="12">
  <si>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Bestemmelse af a, b, c og M</t>
  </si>
  <si>
    <t>x1</t>
  </si>
  <si>
    <t>x2</t>
  </si>
  <si>
    <t>t</t>
  </si>
  <si>
    <t>Estimater</t>
  </si>
  <si>
    <t>a</t>
  </si>
  <si>
    <t>b</t>
  </si>
  <si>
    <t>c</t>
  </si>
  <si>
    <t>M</t>
  </si>
  <si>
    <t>tæller</t>
  </si>
  <si>
    <t>l^2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</si>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</sst>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9" xfId="0" applyFill="1" applyBorder="1"/>
    <xf numFmtId="0" fontId="0" fillId="0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A810-61FD-46D8-8163-7E2447FE35FE}">
  <dimension ref="B1:J12"/>
  <sheetViews>
    <sheetView tabSelected="1" workbookViewId="0">
      <selection activeCell="N5" sqref="N5"/>
    </sheetView>
  </sheetViews>
  <sheetFormatPr defaultRowHeight="14.5" x14ac:dyDescent="0.35"/>
  <sheetData>
    <row r="1" spans="2:10" x14ac:dyDescent="0.35">
      <c r="B1" t="s">
        <v>0</v>
      </c>
    </row>
    <row r="3" spans="2:10" ht="15" thickBot="1" x14ac:dyDescent="0.4"/>
    <row r="4" spans="2:10" ht="15" thickBot="1" x14ac:dyDescent="0.4">
      <c r="B4" s="1" t="s">
        <v>1</v>
      </c>
      <c r="C4" s="2" t="s">
        <v>2</v>
      </c>
      <c r="D4" s="3" t="s">
        <v>3</v>
      </c>
      <c r="E4" t="s">
        <v>9</v>
      </c>
      <c r="G4" s="4" t="s">
        <v>4</v>
      </c>
      <c r="H4" s="6"/>
    </row>
    <row r="5" spans="2:10" x14ac:dyDescent="0.35">
      <c r="B5" s="4">
        <v>0</v>
      </c>
      <c r="C5" s="5">
        <v>3</v>
      </c>
      <c r="D5" s="6">
        <v>-1</v>
      </c>
      <c r="E5" cm="1">
        <f t="array" ref="E5:E10">D5:D10*(B5:B10*H5+C5:C10*H6+H7)</f>
        <v>0.44721319577738505</v>
      </c>
      <c r="G5" s="4" t="s">
        <v>5</v>
      </c>
      <c r="H5" s="6">
        <v>-0.44721319577354779</v>
      </c>
      <c r="J5" cm="1">
        <f t="array" ref="J5:J7">SQRT(5)*H5:H7</f>
        <v>-0.99999910618457455</v>
      </c>
    </row>
    <row r="6" spans="2:10" x14ac:dyDescent="0.35">
      <c r="B6" s="7">
        <v>0</v>
      </c>
      <c r="C6">
        <v>2</v>
      </c>
      <c r="D6" s="8">
        <v>1</v>
      </c>
      <c r="E6">
        <v>0.44721319577435592</v>
      </c>
      <c r="G6" s="7" t="s">
        <v>6</v>
      </c>
      <c r="H6" s="8">
        <v>-0.89442639155174075</v>
      </c>
      <c r="J6">
        <v>-1.9999982123795361</v>
      </c>
    </row>
    <row r="7" spans="2:10" x14ac:dyDescent="0.35">
      <c r="B7" s="7">
        <v>1</v>
      </c>
      <c r="C7">
        <v>1</v>
      </c>
      <c r="D7" s="8">
        <v>1</v>
      </c>
      <c r="E7">
        <v>0.89442639155254877</v>
      </c>
      <c r="G7" s="7" t="s">
        <v>7</v>
      </c>
      <c r="H7" s="8">
        <v>2.2360659788778374</v>
      </c>
      <c r="J7">
        <v>4.999995530945454</v>
      </c>
    </row>
    <row r="8" spans="2:10" ht="15" thickBot="1" x14ac:dyDescent="0.4">
      <c r="B8" s="7">
        <v>3</v>
      </c>
      <c r="C8">
        <v>0.5</v>
      </c>
      <c r="D8" s="8">
        <v>1</v>
      </c>
      <c r="E8">
        <v>0.44721319578132368</v>
      </c>
      <c r="G8" s="12" t="s">
        <v>8</v>
      </c>
      <c r="H8" s="13">
        <v>0.4472131957743557</v>
      </c>
    </row>
    <row r="9" spans="2:10" x14ac:dyDescent="0.35">
      <c r="B9" s="7">
        <v>2</v>
      </c>
      <c r="C9">
        <v>3</v>
      </c>
      <c r="D9" s="8">
        <v>-1</v>
      </c>
      <c r="E9">
        <v>1.3416395873244804</v>
      </c>
    </row>
    <row r="10" spans="2:10" ht="15" thickBot="1" x14ac:dyDescent="0.4">
      <c r="B10" s="9">
        <v>3</v>
      </c>
      <c r="C10" s="10">
        <v>1.5</v>
      </c>
      <c r="D10" s="11">
        <v>-1</v>
      </c>
      <c r="E10">
        <v>0.44721319577041729</v>
      </c>
      <c r="G10" t="s">
        <v>10</v>
      </c>
      <c r="H10">
        <f>H5^2+H6^2</f>
        <v>0.99999821237825748</v>
      </c>
    </row>
    <row r="12" spans="2:10" x14ac:dyDescent="0.35">
      <c r="G12" t="s">
        <v>11</v>
      </c>
      <c r="H12">
        <f>H8</f>
        <v>0.4472131957743557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Malene Cramer Engebjerg</dc:creator>
  <cp:lastModifiedBy>Malene Cramer Engebjerg</cp:lastModifiedBy>
  <dcterms:created xsi:type="dcterms:W3CDTF">2026-05-05T12:11:44Z</dcterms:created>
  <dcterms:modified xsi:type="dcterms:W3CDTF">2026-05-05T13:41:30Z</dcterms:modified>
</cp:coreProperties>
</file>