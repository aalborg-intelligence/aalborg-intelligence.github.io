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hamorspam_filer\"/>
    </mc:Choice>
  </mc:AlternateContent>
  <xr:revisionPtr revIDLastSave="0" documentId="13_ncr:1_{4E656A1C-68B0-4C4F-ADEE-2D68006A8B19}" xr6:coauthVersionLast="47" xr6:coauthVersionMax="47" xr10:uidLastSave="{00000000-0000-0000-0000-000000000000}"/>
  <bookViews>
    <workbookView xWindow="11680" yWindow="1230" windowWidth="22210" windowHeight="13250" xr2:uid="{35D8059B-3C56-4080-93EA-49316D71497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4" i="1"/>
  <c r="I3" i="1"/>
  <c r="L21" i="1"/>
  <c r="K21" i="1"/>
  <c r="L18" i="1"/>
  <c r="L19" i="1"/>
  <c r="L17" i="1"/>
  <c r="L11" i="1"/>
  <c r="L12" i="1"/>
  <c r="L13" i="1"/>
  <c r="L10" i="1"/>
  <c r="L4" i="1"/>
  <c r="L5" i="1"/>
  <c r="L6" i="1"/>
  <c r="L3" i="1"/>
  <c r="J3" i="1"/>
  <c r="I4" i="1"/>
  <c r="J4" i="1"/>
  <c r="I5" i="1"/>
  <c r="J5" i="1"/>
  <c r="I6" i="1"/>
  <c r="J6" i="1"/>
  <c r="I10" i="1"/>
  <c r="J10" i="1"/>
  <c r="I11" i="1"/>
  <c r="J11" i="1"/>
  <c r="I12" i="1"/>
  <c r="J12" i="1"/>
  <c r="I13" i="1"/>
  <c r="J13" i="1"/>
  <c r="K13" i="1" s="1"/>
  <c r="K12" i="1"/>
  <c r="K4" i="1"/>
  <c r="K18" i="1"/>
  <c r="K19" i="1"/>
  <c r="K17" i="1"/>
  <c r="K11" i="1"/>
  <c r="K5" i="1"/>
  <c r="K6" i="1"/>
  <c r="J19" i="1"/>
  <c r="J18" i="1"/>
  <c r="J17" i="1"/>
  <c r="I18" i="1"/>
  <c r="I19" i="1"/>
  <c r="I17" i="1"/>
  <c r="G20" i="1"/>
  <c r="F20" i="1"/>
  <c r="H20" i="1" s="1"/>
  <c r="G14" i="1"/>
  <c r="F14" i="1"/>
  <c r="H14" i="1" s="1"/>
  <c r="H7" i="1"/>
  <c r="G7" i="1"/>
  <c r="F7" i="1"/>
  <c r="D20" i="1"/>
  <c r="D14" i="1"/>
  <c r="D7" i="1"/>
  <c r="C21" i="1"/>
  <c r="B21" i="1"/>
  <c r="H21" i="1"/>
  <c r="G21" i="1"/>
  <c r="F21" i="1"/>
  <c r="G18" i="1"/>
  <c r="G19" i="1"/>
  <c r="G17" i="1"/>
  <c r="F18" i="1"/>
  <c r="F19" i="1"/>
  <c r="F17" i="1"/>
  <c r="G11" i="1"/>
  <c r="G12" i="1"/>
  <c r="G13" i="1"/>
  <c r="G10" i="1"/>
  <c r="F11" i="1"/>
  <c r="F12" i="1"/>
  <c r="F13" i="1"/>
  <c r="F10" i="1"/>
  <c r="G4" i="1"/>
  <c r="G5" i="1"/>
  <c r="G6" i="1"/>
  <c r="F4" i="1"/>
  <c r="F5" i="1"/>
  <c r="F6" i="1"/>
  <c r="G3" i="1"/>
  <c r="F3" i="1"/>
  <c r="K10" i="1" l="1"/>
  <c r="K3" i="1"/>
</calcChain>
</file>

<file path=xl/sharedStrings.xml><?xml version="1.0" encoding="utf-8"?>
<sst xmlns="http://schemas.openxmlformats.org/spreadsheetml/2006/main" count="29" uniqueCount="23">
  <si>
    <t>Spam</t>
  </si>
  <si>
    <t>Ham</t>
  </si>
  <si>
    <t>DK</t>
  </si>
  <si>
    <t>Europa</t>
  </si>
  <si>
    <t>USA</t>
  </si>
  <si>
    <t>Andet</t>
  </si>
  <si>
    <t>Oprindelse</t>
  </si>
  <si>
    <t>Mail</t>
  </si>
  <si>
    <t>Firma</t>
  </si>
  <si>
    <t>Google</t>
  </si>
  <si>
    <t>Hotmail</t>
  </si>
  <si>
    <t>Indhold</t>
  </si>
  <si>
    <t>Dating</t>
  </si>
  <si>
    <t xml:space="preserve">Spil </t>
  </si>
  <si>
    <t>Antal</t>
  </si>
  <si>
    <t>Total</t>
  </si>
  <si>
    <t>P(X=x|Y=spam)</t>
  </si>
  <si>
    <t>P(X=x|Y=ham)</t>
  </si>
  <si>
    <t xml:space="preserve">I alt </t>
  </si>
  <si>
    <t>Situation 1</t>
  </si>
  <si>
    <t>Situation 2</t>
  </si>
  <si>
    <t>Forhold</t>
  </si>
  <si>
    <t>Vægt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</si>
</sst>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24C3-CF34-4096-9615-405E65627380}">
  <dimension ref="A1:N21"/>
  <sheetViews>
    <sheetView tabSelected="1" workbookViewId="0">
      <selection activeCell="N9" sqref="N9"/>
    </sheetView>
  </sheetViews>
  <sheetFormatPr defaultRowHeight="14.5" x14ac:dyDescent="0.35"/>
  <cols>
    <col min="1" max="1" width="12" customWidth="1"/>
    <col min="9" max="9" width="16.81640625" customWidth="1"/>
    <col min="10" max="10" width="15.453125" customWidth="1"/>
  </cols>
  <sheetData>
    <row r="1" spans="1:14" x14ac:dyDescent="0.35">
      <c r="B1" s="2" t="s">
        <v>0</v>
      </c>
      <c r="C1" s="2" t="s">
        <v>1</v>
      </c>
      <c r="D1" t="s">
        <v>14</v>
      </c>
      <c r="F1" s="2" t="s">
        <v>0</v>
      </c>
      <c r="G1" s="2" t="s">
        <v>1</v>
      </c>
      <c r="I1" t="s">
        <v>16</v>
      </c>
      <c r="J1" t="s">
        <v>17</v>
      </c>
      <c r="K1" t="s">
        <v>21</v>
      </c>
      <c r="L1" t="s">
        <v>22</v>
      </c>
    </row>
    <row r="2" spans="1:14" x14ac:dyDescent="0.35">
      <c r="A2" s="2" t="s">
        <v>6</v>
      </c>
    </row>
    <row r="3" spans="1:14" x14ac:dyDescent="0.35">
      <c r="A3" t="s">
        <v>2</v>
      </c>
      <c r="B3">
        <v>20</v>
      </c>
      <c r="C3">
        <v>80</v>
      </c>
      <c r="D3">
        <v>10000</v>
      </c>
      <c r="F3">
        <f>B3/100*$D3</f>
        <v>2000</v>
      </c>
      <c r="G3">
        <f>C3/100*$D3</f>
        <v>8000</v>
      </c>
      <c r="I3" s="5">
        <f>F3/F$7*100</f>
        <v>17.937219730941703</v>
      </c>
      <c r="J3" s="5">
        <f>G3/G$7*100</f>
        <v>33.542976939203356</v>
      </c>
      <c r="K3" s="4">
        <f>I3/J3</f>
        <v>0.53475336322869949</v>
      </c>
      <c r="L3" s="4">
        <f>LN(K3)</f>
        <v>-0.62594964169166833</v>
      </c>
      <c r="N3" t="s">
        <v>19</v>
      </c>
    </row>
    <row r="4" spans="1:14" x14ac:dyDescent="0.35">
      <c r="A4" t="s">
        <v>3</v>
      </c>
      <c r="B4">
        <v>30</v>
      </c>
      <c r="C4">
        <v>70</v>
      </c>
      <c r="D4">
        <v>12000</v>
      </c>
      <c r="F4">
        <f t="shared" ref="F4:F6" si="0">B4/100*$D4</f>
        <v>3600</v>
      </c>
      <c r="G4">
        <f t="shared" ref="G4:G6" si="1">C4/100*$D4</f>
        <v>8400</v>
      </c>
      <c r="I4" s="5">
        <f>F4/F$7*100</f>
        <v>32.286995515695068</v>
      </c>
      <c r="J4" s="5">
        <f>G4/G$7*100</f>
        <v>35.220125786163521</v>
      </c>
      <c r="K4" s="4">
        <f t="shared" ref="K4:K6" si="2">I4/J4</f>
        <v>0.91672005124919931</v>
      </c>
      <c r="L4" s="4">
        <f t="shared" ref="L4:L6" si="3">LN(K4)</f>
        <v>-8.6953140958981073E-2</v>
      </c>
      <c r="N4" s="4">
        <f>L21+L6+L12+L19</f>
        <v>0.18091509337144718</v>
      </c>
    </row>
    <row r="5" spans="1:14" x14ac:dyDescent="0.35">
      <c r="A5" t="s">
        <v>4</v>
      </c>
      <c r="B5">
        <v>35</v>
      </c>
      <c r="C5">
        <v>65</v>
      </c>
      <c r="D5">
        <v>8000</v>
      </c>
      <c r="F5">
        <f t="shared" si="0"/>
        <v>2800</v>
      </c>
      <c r="G5">
        <f t="shared" si="1"/>
        <v>5200</v>
      </c>
      <c r="I5" s="5">
        <f>F5/F$7*100</f>
        <v>25.112107623318387</v>
      </c>
      <c r="J5" s="5">
        <f>G5/G$7*100</f>
        <v>21.80293501048218</v>
      </c>
      <c r="K5" s="4">
        <f t="shared" si="2"/>
        <v>1.1517764746464298</v>
      </c>
      <c r="L5" s="4">
        <f t="shared" si="3"/>
        <v>0.14130551102199906</v>
      </c>
    </row>
    <row r="6" spans="1:14" x14ac:dyDescent="0.35">
      <c r="A6" t="s">
        <v>5</v>
      </c>
      <c r="B6">
        <v>55</v>
      </c>
      <c r="C6">
        <v>45</v>
      </c>
      <c r="D6">
        <v>5000</v>
      </c>
      <c r="F6">
        <f t="shared" si="0"/>
        <v>2750</v>
      </c>
      <c r="G6">
        <f t="shared" si="1"/>
        <v>2250</v>
      </c>
      <c r="I6" s="5">
        <f>F6/F$7*100</f>
        <v>24.663677130044842</v>
      </c>
      <c r="J6" s="5">
        <f>G6/G$7*100</f>
        <v>9.433962264150944</v>
      </c>
      <c r="K6" s="4">
        <f t="shared" si="2"/>
        <v>2.6143497757847531</v>
      </c>
      <c r="L6" s="4">
        <f t="shared" si="3"/>
        <v>0.96101541489037356</v>
      </c>
    </row>
    <row r="7" spans="1:14" x14ac:dyDescent="0.35">
      <c r="A7" s="3" t="s">
        <v>18</v>
      </c>
      <c r="D7">
        <f>SUM(D3:D6)</f>
        <v>35000</v>
      </c>
      <c r="F7">
        <f>SUM(F3:F6)</f>
        <v>11150</v>
      </c>
      <c r="G7">
        <f>SUM(G3:G6)</f>
        <v>23850</v>
      </c>
      <c r="H7">
        <f>SUM(F7:G7)</f>
        <v>35000</v>
      </c>
      <c r="I7" s="5"/>
      <c r="J7" s="5"/>
      <c r="K7" s="4"/>
      <c r="L7" s="4"/>
      <c r="N7" t="s">
        <v>20</v>
      </c>
    </row>
    <row r="8" spans="1:14" x14ac:dyDescent="0.35">
      <c r="I8" s="5"/>
      <c r="J8" s="5"/>
      <c r="K8" s="4"/>
      <c r="L8" s="4"/>
      <c r="N8" s="4">
        <f>L21+L3+L10+L17</f>
        <v>-0.67653513847977464</v>
      </c>
    </row>
    <row r="9" spans="1:14" x14ac:dyDescent="0.35">
      <c r="A9" s="2" t="s">
        <v>7</v>
      </c>
      <c r="I9" s="5"/>
      <c r="J9" s="5"/>
      <c r="K9" s="4"/>
      <c r="L9" s="4"/>
    </row>
    <row r="10" spans="1:14" x14ac:dyDescent="0.35">
      <c r="A10" s="1" t="s">
        <v>8</v>
      </c>
      <c r="B10">
        <v>10</v>
      </c>
      <c r="C10">
        <v>90</v>
      </c>
      <c r="D10">
        <v>17000</v>
      </c>
      <c r="F10">
        <f>B10/100*$D10</f>
        <v>1700</v>
      </c>
      <c r="G10">
        <f>C10/100*$D10</f>
        <v>15300</v>
      </c>
      <c r="I10" s="5">
        <f>F10/F$14*100</f>
        <v>15.246636771300448</v>
      </c>
      <c r="J10" s="5">
        <f>G10/G$14*100</f>
        <v>64.15094339622641</v>
      </c>
      <c r="K10" s="4">
        <f>I10/J10</f>
        <v>0.2376681614349776</v>
      </c>
      <c r="L10" s="4">
        <f>LN(K10)</f>
        <v>-1.4368798579079969</v>
      </c>
    </row>
    <row r="11" spans="1:14" x14ac:dyDescent="0.35">
      <c r="A11" s="1" t="s">
        <v>9</v>
      </c>
      <c r="B11">
        <v>20</v>
      </c>
      <c r="C11">
        <v>80</v>
      </c>
      <c r="D11">
        <v>6450</v>
      </c>
      <c r="F11">
        <f>B11/100*$D11</f>
        <v>1290</v>
      </c>
      <c r="G11">
        <f>C11/100*$D11</f>
        <v>5160</v>
      </c>
      <c r="I11" s="5">
        <f t="shared" ref="I11:J13" si="4">F11/F$14*100</f>
        <v>11.569506726457398</v>
      </c>
      <c r="J11" s="5">
        <f t="shared" si="4"/>
        <v>21.635220125786166</v>
      </c>
      <c r="K11" s="4">
        <f t="shared" ref="K11:K13" si="5">I11/J11</f>
        <v>0.53475336322869949</v>
      </c>
      <c r="L11" s="4">
        <f t="shared" ref="L11:L13" si="6">LN(K11)</f>
        <v>-0.62594964169166833</v>
      </c>
    </row>
    <row r="12" spans="1:14" x14ac:dyDescent="0.35">
      <c r="A12" s="1" t="s">
        <v>10</v>
      </c>
      <c r="B12">
        <v>60</v>
      </c>
      <c r="C12">
        <v>40</v>
      </c>
      <c r="D12">
        <v>5400</v>
      </c>
      <c r="F12">
        <f>B12/100*$D12</f>
        <v>3240</v>
      </c>
      <c r="G12">
        <f>C12/100*$D12</f>
        <v>2160</v>
      </c>
      <c r="I12" s="5">
        <f t="shared" si="4"/>
        <v>29.058295964125559</v>
      </c>
      <c r="J12" s="5">
        <f>G12/G$14*100</f>
        <v>9.0566037735849054</v>
      </c>
      <c r="K12" s="4">
        <f t="shared" si="5"/>
        <v>3.2085201793721971</v>
      </c>
      <c r="L12" s="4">
        <f t="shared" si="6"/>
        <v>1.1658098275363868</v>
      </c>
    </row>
    <row r="13" spans="1:14" x14ac:dyDescent="0.35">
      <c r="A13" s="1" t="s">
        <v>5</v>
      </c>
      <c r="B13">
        <v>80</v>
      </c>
      <c r="C13">
        <v>20</v>
      </c>
      <c r="D13">
        <v>6150</v>
      </c>
      <c r="F13">
        <f>B13/100*$D13</f>
        <v>4920</v>
      </c>
      <c r="G13">
        <f>C13/100*$D13</f>
        <v>1230</v>
      </c>
      <c r="I13" s="5">
        <f t="shared" si="4"/>
        <v>44.125560538116595</v>
      </c>
      <c r="J13" s="5">
        <f>G13/G$14*100</f>
        <v>5.1572327044025164</v>
      </c>
      <c r="K13" s="4">
        <f t="shared" si="5"/>
        <v>8.5560538116591918</v>
      </c>
      <c r="L13" s="4">
        <f t="shared" si="6"/>
        <v>2.146639080548113</v>
      </c>
    </row>
    <row r="14" spans="1:14" x14ac:dyDescent="0.35">
      <c r="A14" s="3" t="s">
        <v>18</v>
      </c>
      <c r="D14">
        <f>SUM(D10:D13)</f>
        <v>35000</v>
      </c>
      <c r="F14">
        <f>SUM(F10:F13)</f>
        <v>11150</v>
      </c>
      <c r="G14">
        <f>SUM(G10:G13)</f>
        <v>23850</v>
      </c>
      <c r="H14">
        <f>SUM(F14:G14)</f>
        <v>35000</v>
      </c>
      <c r="I14" s="5"/>
      <c r="J14" s="5"/>
      <c r="K14" s="4"/>
      <c r="L14" s="4"/>
    </row>
    <row r="15" spans="1:14" x14ac:dyDescent="0.35">
      <c r="A15" s="1"/>
      <c r="I15" s="5"/>
      <c r="J15" s="5"/>
      <c r="K15" s="4"/>
      <c r="L15" s="4"/>
    </row>
    <row r="16" spans="1:14" x14ac:dyDescent="0.35">
      <c r="A16" s="2" t="s">
        <v>11</v>
      </c>
      <c r="I16" s="5"/>
      <c r="J16" s="5"/>
      <c r="K16" s="4"/>
      <c r="L16" s="4"/>
    </row>
    <row r="17" spans="1:12" x14ac:dyDescent="0.35">
      <c r="A17" s="1" t="s">
        <v>12</v>
      </c>
      <c r="B17">
        <v>80</v>
      </c>
      <c r="C17">
        <v>20</v>
      </c>
      <c r="D17">
        <v>4325</v>
      </c>
      <c r="F17">
        <f>B17/100*$D17</f>
        <v>3460</v>
      </c>
      <c r="G17">
        <f>C17/100*$D17</f>
        <v>865</v>
      </c>
      <c r="I17" s="5">
        <f>F17/F$20*100</f>
        <v>31.031390134529147</v>
      </c>
      <c r="J17" s="5">
        <f>G17/G$20*100</f>
        <v>3.6268343815513622</v>
      </c>
      <c r="K17" s="4">
        <f>I17/J17</f>
        <v>8.5560538116591935</v>
      </c>
      <c r="L17" s="4">
        <f>LN(K17)</f>
        <v>2.146639080548113</v>
      </c>
    </row>
    <row r="18" spans="1:12" x14ac:dyDescent="0.35">
      <c r="A18" s="1" t="s">
        <v>13</v>
      </c>
      <c r="B18">
        <v>90</v>
      </c>
      <c r="C18">
        <v>10</v>
      </c>
      <c r="D18">
        <v>4975</v>
      </c>
      <c r="F18">
        <f>B18/100*$D18</f>
        <v>4477.5</v>
      </c>
      <c r="G18">
        <f>C18/100*$D18</f>
        <v>497.5</v>
      </c>
      <c r="I18" s="5">
        <f t="shared" ref="I18:J19" si="7">F18/F$20*100</f>
        <v>40.156950672645742</v>
      </c>
      <c r="J18" s="5">
        <f t="shared" si="7"/>
        <v>2.0859538784067087</v>
      </c>
      <c r="K18" s="4">
        <f t="shared" ref="K18:K19" si="8">I18/J18</f>
        <v>19.251121076233183</v>
      </c>
      <c r="L18" s="4">
        <f t="shared" ref="L18:L21" si="9">LN(K18)</f>
        <v>2.9575692967644418</v>
      </c>
    </row>
    <row r="19" spans="1:12" x14ac:dyDescent="0.35">
      <c r="A19" s="1" t="s">
        <v>5</v>
      </c>
      <c r="B19">
        <v>12.5</v>
      </c>
      <c r="C19">
        <v>87.5</v>
      </c>
      <c r="D19">
        <v>25700</v>
      </c>
      <c r="F19">
        <f>B19/100*$D19</f>
        <v>3212.5</v>
      </c>
      <c r="G19">
        <f>C19/100*$D19</f>
        <v>22487.5</v>
      </c>
      <c r="I19" s="5">
        <f t="shared" si="7"/>
        <v>28.811659192825111</v>
      </c>
      <c r="J19" s="5">
        <f t="shared" si="7"/>
        <v>94.287211740041926</v>
      </c>
      <c r="K19" s="4">
        <f t="shared" si="8"/>
        <v>0.30557335041639977</v>
      </c>
      <c r="L19" s="4">
        <f t="shared" si="9"/>
        <v>-1.1855654296270908</v>
      </c>
    </row>
    <row r="20" spans="1:12" x14ac:dyDescent="0.35">
      <c r="A20" s="3" t="s">
        <v>18</v>
      </c>
      <c r="D20">
        <f>SUM(D17:D19)</f>
        <v>35000</v>
      </c>
      <c r="F20">
        <f>SUM(F16:F19)</f>
        <v>11150</v>
      </c>
      <c r="G20">
        <f>SUM(G16:G19)</f>
        <v>23850</v>
      </c>
      <c r="H20">
        <f>SUM(F20:G20)</f>
        <v>35000</v>
      </c>
    </row>
    <row r="21" spans="1:12" x14ac:dyDescent="0.35">
      <c r="A21" t="s">
        <v>15</v>
      </c>
      <c r="B21">
        <f>F21/$H$21*100</f>
        <v>31.857142857142858</v>
      </c>
      <c r="C21">
        <f>G21/$H$21*100</f>
        <v>68.142857142857139</v>
      </c>
      <c r="F21">
        <f>SUM(F3:F6)</f>
        <v>11150</v>
      </c>
      <c r="G21">
        <f>SUM(G3:G6)</f>
        <v>23850</v>
      </c>
      <c r="H21">
        <f>SUM(F21:G21)</f>
        <v>35000</v>
      </c>
      <c r="K21">
        <f>B21/C21</f>
        <v>0.46750524109014679</v>
      </c>
      <c r="L21" s="4">
        <f t="shared" si="9"/>
        <v>-0.76034471942822235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2026-02-03T11:29:31Z</dcterms:created>
  <dcterms:modified xsi:type="dcterms:W3CDTF">2026-02-03T13:19:41Z</dcterms:modified>
</cp:coreProperties>
</file>